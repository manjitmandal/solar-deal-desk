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eal_Summary" sheetId="2" state="visible" r:id="rId4"/>
    <sheet name="Assumptions" sheetId="3" state="visible" r:id="rId5"/>
    <sheet name="Energy" sheetId="4" state="visible" r:id="rId6"/>
    <sheet name="Quote_Calculator" sheetId="5" state="visible" r:id="rId7"/>
    <sheet name="Sensitivity" sheetId="6" state="visible" r:id="rId8"/>
    <sheet name="Tracker_Value" sheetId="7" state="visible" r:id="rId9"/>
    <sheet name="Project_Financ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<sst xmlns="http://schemas.openxmlformats.org/spreadsheetml/2006/main" count="485" uniqueCount="372">
  <si>
    <t xml:space="preserve">Solar Deal Desk - 100 MWp Thar Sun Energy deal model</t>
  </si>
  <si>
    <t xml:space="preserve">Portfolio project | fictional customer &amp; supplier | all monetary values in INR unless stated</t>
  </si>
  <si>
    <t xml:space="preserve">Purpose</t>
  </si>
  <si>
    <t xml:space="preserve">One connected deal: customer brief -&gt; energy assumptions -&gt; quote -&gt; margin check -&gt; customer value -&gt; project finance (stretch).</t>
  </si>
  <si>
    <t xml:space="preserve">Supplier (fictional)</t>
  </si>
  <si>
    <t xml:space="preserve">SunAxis Trackers Pvt Ltd - single-axis tracker supplier (not a real company).</t>
  </si>
  <si>
    <t xml:space="preserve">Customer (fictional)</t>
  </si>
  <si>
    <t xml:space="preserve">Thar Sun Energy Pvt Ltd - IPP developing a 100 MWp (DC) plant, Jodhpur district, Rajasthan.</t>
  </si>
  <si>
    <t xml:space="preserve">SHEET GUIDE</t>
  </si>
  <si>
    <t xml:space="preserve">Assumptions</t>
  </si>
  <si>
    <t xml:space="preserve">Single source of truth. Every number used anywhere in the project lives here (and is re-used in the quotation, deck and README).</t>
  </si>
  <si>
    <t xml:space="preserve">Energy</t>
  </si>
  <si>
    <t xml:space="preserve">PVGIS v5.3 simulated yield: fixed-tilt (optimal) vs horizontal single-axis tracking, plus a planning-case realisation haircut.</t>
  </si>
  <si>
    <t xml:space="preserve">Quote_Calculator</t>
  </si>
  <si>
    <t xml:space="preserve">Cost build-up, net price, contribution margin, minimum acceptable price, discount authority, competitor gap.</t>
  </si>
  <si>
    <t xml:space="preserve">Sensitivity</t>
  </si>
  <si>
    <t xml:space="preserve">Contribution margin vs FX (INR/USD) and steel price; CM vs discount.</t>
  </si>
  <si>
    <t xml:space="preserve">Tracker_Value</t>
  </si>
  <si>
    <t xml:space="preserve">Customer view: does extra tracker energy value offset extra cost? NPV, IRR, payback, break-even tracker price.</t>
  </si>
  <si>
    <t xml:space="preserve">Project_Finance</t>
  </si>
  <si>
    <t xml:space="preserve">STRETCH: 25-year project cash flows - project IRR, equity IRR, DSCR, LCOE (pre-tax, simplified).</t>
  </si>
  <si>
    <t xml:space="preserve">Deal_Summary</t>
  </si>
  <si>
    <t xml:space="preserve">One-page output panel used for the proposal pack and management presentation.</t>
  </si>
  <si>
    <t xml:space="preserve">COLOUR LEGEND</t>
  </si>
  <si>
    <t xml:space="preserve">Blue text</t>
  </si>
  <si>
    <t xml:space="preserve">Hard-coded input - edit these (on Assumptions sheet only).</t>
  </si>
  <si>
    <t xml:space="preserve">Yellow fill</t>
  </si>
  <si>
    <t xml:space="preserve">Key assumption / scenario lever.</t>
  </si>
  <si>
    <t xml:space="preserve">Black text</t>
  </si>
  <si>
    <t xml:space="preserve">Formula.</t>
  </si>
  <si>
    <t xml:space="preserve">Green text</t>
  </si>
  <si>
    <t xml:space="preserve">Link pulled from another sheet.</t>
  </si>
  <si>
    <t xml:space="preserve">Green fill</t>
  </si>
  <si>
    <t xml:space="preserve">Key output.</t>
  </si>
  <si>
    <t xml:space="preserve">DATA LABELS</t>
  </si>
  <si>
    <t xml:space="preserve">PVGIS simulated</t>
  </si>
  <si>
    <t xml:space="preserve">Output of the EU JRC PVGIS model for a fictional site. A simulated scenario - NOT proof of any manufacturer's real-world tracker performance.</t>
  </si>
  <si>
    <t xml:space="preserve">Market benchmark</t>
  </si>
  <si>
    <t xml:space="preserve">Public data point used as a planning reference (source cited).</t>
  </si>
  <si>
    <t xml:space="preserve">Synthetic assumption</t>
  </si>
  <si>
    <t xml:space="preserve">Made-up but realistic value chosen for this portfolio exercise. Replace with real data when available.</t>
  </si>
  <si>
    <t xml:space="preserve">Customer brief</t>
  </si>
  <si>
    <t xml:space="preserve">Comes from the fictional Customer Requirements Brief.</t>
  </si>
  <si>
    <t xml:space="preserve">Deal summary - Thar Sun Energy 100 MWp | SunAxis single-axis tracker</t>
  </si>
  <si>
    <t xml:space="preserve">All values link to model sheets. Energy = PVGIS SIMULATED planning case; costs = SYNTHETIC assumptions.</t>
  </si>
  <si>
    <t xml:space="preserve">Metric</t>
  </si>
  <si>
    <t xml:space="preserve">Value</t>
  </si>
  <si>
    <t xml:space="preserve">Unit</t>
  </si>
  <si>
    <t xml:space="preserve">COMMERCIAL</t>
  </si>
  <si>
    <t xml:space="preserve">Plant size</t>
  </si>
  <si>
    <t xml:space="preserve">MWp</t>
  </si>
  <si>
    <t xml:space="preserve">List price</t>
  </si>
  <si>
    <t xml:space="preserve">INR/Wp</t>
  </si>
  <si>
    <t xml:space="preserve">Discount</t>
  </si>
  <si>
    <t xml:space="preserve">%</t>
  </si>
  <si>
    <t xml:space="preserve">Net price</t>
  </si>
  <si>
    <t xml:space="preserve">Contract value</t>
  </si>
  <si>
    <t xml:space="preserve">INR crore</t>
  </si>
  <si>
    <t xml:space="preserve">Contract value (USD)</t>
  </si>
  <si>
    <t xml:space="preserve">USD million</t>
  </si>
  <si>
    <t xml:space="preserve">Contribution margin</t>
  </si>
  <si>
    <t xml:space="preserve">Contribution margin %</t>
  </si>
  <si>
    <t xml:space="preserve">Minimum acceptable price</t>
  </si>
  <si>
    <t xml:space="preserve">Max discount before CM floor</t>
  </si>
  <si>
    <t xml:space="preserve">Margin status</t>
  </si>
  <si>
    <t xml:space="preserve">Approval required</t>
  </si>
  <si>
    <t xml:space="preserve">Competitor offer</t>
  </si>
  <si>
    <t xml:space="preserve">CM % if matching competitor</t>
  </si>
  <si>
    <t xml:space="preserve">CUSTOMER VALUE</t>
  </si>
  <si>
    <t xml:space="preserve">Simulated tracker gain (ideal PVGIS)</t>
  </si>
  <si>
    <t xml:space="preserve">Planning-case tracker gain</t>
  </si>
  <si>
    <t xml:space="preserve">Incremental energy, year 1</t>
  </si>
  <si>
    <t xml:space="preserve">GWh</t>
  </si>
  <si>
    <t xml:space="preserve">NPV of tracker upgrade</t>
  </si>
  <si>
    <t xml:space="preserve">IRR of tracker upgrade</t>
  </si>
  <si>
    <t xml:space="preserve">Payback of tracker upgrade</t>
  </si>
  <si>
    <t xml:space="preserve">years</t>
  </si>
  <si>
    <t xml:space="preserve">Break-even tracker price</t>
  </si>
  <si>
    <t xml:space="preserve">Extra yield to justify premium vs competitor</t>
  </si>
  <si>
    <t xml:space="preserve">% of fixed yield</t>
  </si>
  <si>
    <t xml:space="preserve">PROJECT FINANCE (STRETCH)</t>
  </si>
  <si>
    <t xml:space="preserve">Project IRR - fixed / tracker</t>
  </si>
  <si>
    <t xml:space="preserve">Equity IRR - fixed / tracker</t>
  </si>
  <si>
    <t xml:space="preserve">Min DSCR - fixed / tracker</t>
  </si>
  <si>
    <t xml:space="preserve">LCOE - fixed / tracker</t>
  </si>
  <si>
    <t xml:space="preserve">INR/kWh</t>
  </si>
  <si>
    <t xml:space="preserve">Assumptions register - single source of truth</t>
  </si>
  <si>
    <t xml:space="preserve">Change inputs ONLY here. Type column distinguishes simulated / benchmark / synthetic data.</t>
  </si>
  <si>
    <t xml:space="preserve">ID</t>
  </si>
  <si>
    <t xml:space="preserve">Parameter</t>
  </si>
  <si>
    <t xml:space="preserve">Type</t>
  </si>
  <si>
    <t xml:space="preserve">Source / note</t>
  </si>
  <si>
    <t xml:space="preserve">1. Project (customer brief)</t>
  </si>
  <si>
    <t xml:space="preserve">proj_mwp</t>
  </si>
  <si>
    <t xml:space="preserve">Plant DC capacity</t>
  </si>
  <si>
    <t xml:space="preserve">Customer Requirements Brief s.2. Tracker is quoted per Wp DC.</t>
  </si>
  <si>
    <t xml:space="preserve">site_lat</t>
  </si>
  <si>
    <t xml:space="preserve">Site latitude</t>
  </si>
  <si>
    <t xml:space="preserve">deg N</t>
  </si>
  <si>
    <t xml:space="preserve">Fictional site, Jodhpur district, Rajasthan.</t>
  </si>
  <si>
    <t xml:space="preserve">site_lon</t>
  </si>
  <si>
    <t xml:space="preserve">Site longitude</t>
  </si>
  <si>
    <t xml:space="preserve">deg E</t>
  </si>
  <si>
    <t xml:space="preserve">Fictional site.</t>
  </si>
  <si>
    <t xml:space="preserve">life</t>
  </si>
  <si>
    <t xml:space="preserve">Project life</t>
  </si>
  <si>
    <t xml:space="preserve">Typical PPA tenor in Indian solar auctions.</t>
  </si>
  <si>
    <t xml:space="preserve">2. Energy (simulated)</t>
  </si>
  <si>
    <t xml:space="preserve">e_fixed</t>
  </si>
  <si>
    <t xml:space="preserve">Fixed-tilt specific yield (30 deg, optimal)</t>
  </si>
  <si>
    <t xml:space="preserve">kWh/kWp/yr</t>
  </si>
  <si>
    <t xml:space="preserve">PVGIS v5.3 PVcalc, PVGIS-ERA5 2005-2023, 14% system loss, optimal slope 30 deg / azimuth -6 deg. Run 24-Oct-2026.</t>
  </si>
  <si>
    <t xml:space="preserve">e_sat</t>
  </si>
  <si>
    <t xml:space="preserve">Single-axis tracker yield (horizontal N-S, ideal)</t>
  </si>
  <si>
    <t xml:space="preserve">PVGIS v5.3 PVcalc inclined_axis=1, axis slope 0 deg. PVGIS models ideal rotation: no backtracking, row-to-row shading or stow losses.</t>
  </si>
  <si>
    <t xml:space="preserve">realise</t>
  </si>
  <si>
    <t xml:space="preserve">Share of simulated tracker gain realised (planning case)</t>
  </si>
  <si>
    <t xml:space="preserve">Haircut for effects PVGIS does not model. 70% of the 24.3% simulated gain = ~17%, inside the 15-25% range often cited for single-axis trackers (Antai Solar lifecycle-cost blog).</t>
  </si>
  <si>
    <t xml:space="preserve">degr</t>
  </si>
  <si>
    <t xml:space="preserve">Annual module degradation</t>
  </si>
  <si>
    <t xml:space="preserve">%/yr</t>
  </si>
  <si>
    <t xml:space="preserve">Typical c-Si warranty degradation.</t>
  </si>
  <si>
    <t xml:space="preserve">3. Market &amp; finance</t>
  </si>
  <si>
    <t xml:space="preserve">tariff</t>
  </si>
  <si>
    <t xml:space="preserve">PPA tariff</t>
  </si>
  <si>
    <t xml:space="preserve">Indian ISTS solar auctions have cleared ~INR 2.55-2.68/kWh (PV Tech 2019: 2.55-2.61; Mercom, May-2024 NTPC: 2.68).</t>
  </si>
  <si>
    <t xml:space="preserve">fx</t>
  </si>
  <si>
    <t xml:space="preserve">Exchange rate</t>
  </si>
  <si>
    <t xml:space="preserve">INR per USD</t>
  </si>
  <si>
    <t xml:space="preserve">USD/INR close 23-Oct-2026 (poundsterlinglive.com history).</t>
  </si>
  <si>
    <t xml:space="preserve">capex_base</t>
  </si>
  <si>
    <t xml:space="preserve">Plant capex excluding mounting structure</t>
  </si>
  <si>
    <t xml:space="preserve">Set so fixed-tilt total = INR 3.5 cr/MW, the CTUIL planning benchmark (GreentechLead, Sep-2026). Real project costs run higher (INR 4.15-5.49 cr/MW).</t>
  </si>
  <si>
    <t xml:space="preserve">fixed_struct</t>
  </si>
  <si>
    <t xml:space="preserve">Fixed-tilt structure price (alternative)</t>
  </si>
  <si>
    <t xml:space="preserve">Customer's fixed-tilt alternative quote from brief.</t>
  </si>
  <si>
    <t xml:space="preserve">om_fixed</t>
  </si>
  <si>
    <t xml:space="preserve">O&amp;M cost - fixed-tilt plant</t>
  </si>
  <si>
    <t xml:space="preserve">INR lakh/MWp/yr</t>
  </si>
  <si>
    <t xml:space="preserve">Planning value.</t>
  </si>
  <si>
    <t xml:space="preserve">om_trk_extra</t>
  </si>
  <si>
    <t xml:space="preserve">Additional O&amp;M for tracker</t>
  </si>
  <si>
    <t xml:space="preserve">~15% uplift; source range 15-30% higher than fixed-tilt (Antai Solar).</t>
  </si>
  <si>
    <t xml:space="preserve">om_esc</t>
  </si>
  <si>
    <t xml:space="preserve">O&amp;M escalation</t>
  </si>
  <si>
    <t xml:space="preserve">wacc</t>
  </si>
  <si>
    <t xml:space="preserve">Customer discount rate (WACC)</t>
  </si>
  <si>
    <t xml:space="preserve">Used for NPV of incremental tracker value.</t>
  </si>
  <si>
    <t xml:space="preserve">gearing</t>
  </si>
  <si>
    <t xml:space="preserve">Debt share of capex (stretch)</t>
  </si>
  <si>
    <t xml:space="preserve">Project finance sheet only.</t>
  </si>
  <si>
    <t xml:space="preserve">debt_rate</t>
  </si>
  <si>
    <t xml:space="preserve">Debt interest rate (stretch)</t>
  </si>
  <si>
    <t xml:space="preserve">tenor</t>
  </si>
  <si>
    <t xml:space="preserve">Debt tenor (stretch)</t>
  </si>
  <si>
    <t xml:space="preserve">Annuity repayment.</t>
  </si>
  <si>
    <t xml:space="preserve">4. Supplier cost build-up (tracker)</t>
  </si>
  <si>
    <t xml:space="preserve">c_steel</t>
  </si>
  <si>
    <t xml:space="preserve">Torque tubes &amp; structural steel</t>
  </si>
  <si>
    <t xml:space="preserve">Domestic steel, INR-denominated, steel-index exposed.</t>
  </si>
  <si>
    <t xml:space="preserve">c_piles</t>
  </si>
  <si>
    <t xml:space="preserve">Piles / foundation steel</t>
  </si>
  <si>
    <t xml:space="preserve">Steel-index exposed.</t>
  </si>
  <si>
    <t xml:space="preserve">c_drives</t>
  </si>
  <si>
    <t xml:space="preserve">Drives, motors, gearboxes (imported)</t>
  </si>
  <si>
    <t xml:space="preserve">USD/Wp</t>
  </si>
  <si>
    <t xml:space="preserve">USD-denominated -&gt; FX exposed.</t>
  </si>
  <si>
    <t xml:space="preserve">c_ctrl</t>
  </si>
  <si>
    <t xml:space="preserve">Controllers, sensors, network (imported)</t>
  </si>
  <si>
    <t xml:space="preserve">c_fast</t>
  </si>
  <si>
    <t xml:space="preserve">Fasteners &amp; module clamps</t>
  </si>
  <si>
    <t xml:space="preserve">c_log</t>
  </si>
  <si>
    <t xml:space="preserve">Logistics (inland freight, handling)</t>
  </si>
  <si>
    <t xml:space="preserve">Plant to Jodhpur site.</t>
  </si>
  <si>
    <t xml:space="preserve">c_inst</t>
  </si>
  <si>
    <t xml:space="preserve">Installation supervision &amp; commissioning</t>
  </si>
  <si>
    <t xml:space="preserve">warranty</t>
  </si>
  <si>
    <t xml:space="preserve">Warranty reserve</t>
  </si>
  <si>
    <t xml:space="preserve">% of net price</t>
  </si>
  <si>
    <t xml:space="preserve">commission</t>
  </si>
  <si>
    <t xml:space="preserve">Sales commission</t>
  </si>
  <si>
    <t xml:space="preserve">5. Pricing policy</t>
  </si>
  <si>
    <t xml:space="preserve">list_price</t>
  </si>
  <si>
    <t xml:space="preserve">SunAxis price book, India utility-scale.</t>
  </si>
  <si>
    <t xml:space="preserve">discount</t>
  </si>
  <si>
    <t xml:space="preserve">Proposed discount</t>
  </si>
  <si>
    <t xml:space="preserve">Scenario lever - deal desk recommendation.</t>
  </si>
  <si>
    <t xml:space="preserve">cm_floor</t>
  </si>
  <si>
    <t xml:space="preserve">Minimum contribution margin</t>
  </si>
  <si>
    <t xml:space="preserve">Below this the deal must not be signed without CFO review.</t>
  </si>
  <si>
    <t xml:space="preserve">cm_target</t>
  </si>
  <si>
    <t xml:space="preserve">Target contribution margin</t>
  </si>
  <si>
    <t xml:space="preserve">auth_mgr</t>
  </si>
  <si>
    <t xml:space="preserve">Discount authority - Sales Manager (up to)</t>
  </si>
  <si>
    <t xml:space="preserve">auth_dir</t>
  </si>
  <si>
    <t xml:space="preserve">Discount authority - Sales Director (up to)</t>
  </si>
  <si>
    <t xml:space="preserve">auth_vp</t>
  </si>
  <si>
    <t xml:space="preserve">Discount authority - VP Sales (up to)</t>
  </si>
  <si>
    <t xml:space="preserve">Above this -&gt; CFO.</t>
  </si>
  <si>
    <t xml:space="preserve">comp_price</t>
  </si>
  <si>
    <t xml:space="preserve">Competitor tracker offer</t>
  </si>
  <si>
    <t xml:space="preserve">Competitor offer cited by customer (fictional).</t>
  </si>
  <si>
    <t xml:space="preserve">6. Sensitivity steps</t>
  </si>
  <si>
    <t xml:space="preserve">fx_step</t>
  </si>
  <si>
    <t xml:space="preserve">FX sensitivity step</t>
  </si>
  <si>
    <t xml:space="preserve">steel_step</t>
  </si>
  <si>
    <t xml:space="preserve">Steel price sensitivity step</t>
  </si>
  <si>
    <t xml:space="preserve">Sources</t>
  </si>
  <si>
    <t xml:space="preserve">PVGIS v5.3 API, EU Joint Research Centre: https://re.jrc.ec.europa.eu/pvg_tools/en/</t>
  </si>
  <si>
    <t xml:space="preserve">PV Tech (2019), SECI 1.2 GW ISTS auction INR 2.55-2.61/kWh: https://www.pv-tech.org/secis-1.2gw-ists-solar-auction-draws-lowest-bid-of-2.55-rupees/</t>
  </si>
  <si>
    <t xml:space="preserve">Mercom India (May-2024), NTPC Tranche III lowest INR 2.68/kWh: https://mercomindia.com/ntpc-tranche-iii-solar-auction</t>
  </si>
  <si>
    <t xml:space="preserve">GreentechLead (Sep-2026), solar farm cost per MW (CTUIL ~INR 3.5 cr/MW): https://greentechlead.com/solar/how-much-does-a-utility-scale-solar-farm-cost-per-mw-in-2026-india-and-global-cost-analysis-55628</t>
  </si>
  <si>
    <t xml:space="preserve">Antai Solar, tracker vs fixed-tilt lifecycle cost (gain 15-25%, O&amp;M +15-30%): https://www.antaisolar.com/company/blog/solar-tracking-system/solar-tracker-vs-fixed-tilt-a-lifecycle-cost-framework-for-utility-scale-projects</t>
  </si>
  <si>
    <t xml:space="preserve">Pound Sterling Live, USD/INR history 2026: https://www.poundsterlinglive.com/history/USD-INR-2026</t>
  </si>
  <si>
    <t xml:space="preserve">Energy comparison - PVGIS SIMULATED scenarios (not measured performance)</t>
  </si>
  <si>
    <t xml:space="preserve">Fictional site 27.30N 72.40E | per 1 kWp | monthly values pasted from PVGIS v5.3 API output (24-Oct-2026)</t>
  </si>
  <si>
    <t xml:space="preserve">Month</t>
  </si>
  <si>
    <t xml:space="preserve">Fixed-tilt (PVGIS) kWh/kWp</t>
  </si>
  <si>
    <t xml:space="preserve">Tracker ideal (PVGIS) kWh/kWp</t>
  </si>
  <si>
    <t xml:space="preserve">Tracker planning case kWh/kWp</t>
  </si>
  <si>
    <t xml:space="preserve">Planning gain %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</si>
  <si>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</si>
  <si>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</si>
  <si>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</si>
  <si>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</si>
  <si>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</si>
  <si>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</si>
  <si>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</si>
  <si>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</si>
  <si>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</si>
  <si>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</si>
  <si>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</si>
  <si>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</si>
  <si>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Annual total</t>
  </si>
  <si>
    <t xml:space="preserve">Check vs PVGIS annual totals (should be ~0 rounding)</t>
  </si>
  <si>
    <t xml:space="preserve">Key energy outputs</t>
  </si>
  <si>
    <t xml:space="preserve">Simulated tracker gain (ideal)</t>
  </si>
  <si>
    <t xml:space="preserve">Fixed-tilt yield, year 1 (GWh)</t>
  </si>
  <si>
    <t xml:space="preserve">Tracker planning yield, year 1 (GWh)</t>
  </si>
  <si>
    <t xml:space="preserve">Incremental energy, year 1 (GWh)</t>
  </si>
  <si>
    <t xml:space="preserve">Fixed-tilt capacity factor (DC)</t>
  </si>
  <si>
    <t xml:space="preserve">Tracker planning capacity factor (DC)</t>
  </si>
  <si>
    <t xml:space="preserve">Labelling rule: these are SIMULATED scenarios from a general-purpose solar model for a fictional site.</t>
  </si>
  <si>
    <t xml:space="preserve">PVGIS single-axis option assumes ideal rotation; it does not model backtracking, row-to-row shading, wind stow or tracker availability.</t>
  </si>
  <si>
    <t xml:space="preserve">Therefore the planning case applies a realisation factor (Assumptions: realise). A bankable study would use PVsyst/SAM with real layout, GCR and module data.</t>
  </si>
  <si>
    <t xml:space="preserve">Reproduce: https://re.jrc.ec.europa.eu/api/v5_3/PVcalc?lat=27.30&amp;lon=72.40&amp;peakpower=1&amp;loss=14&amp;mountingplace=free&amp;optimalangles=1&amp;outputformat=json</t>
  </si>
  <si>
    <t xml:space="preserve">and ...&amp;inclined_axis=1&amp;inclinedaxisangle=0 for the tracker run.</t>
  </si>
  <si>
    <t xml:space="preserve">Quote &amp; contribution-margin calculator - SunAxis tracker for Thar Sun 100 MWp</t>
  </si>
  <si>
    <t xml:space="preserve">INR/Wp unless stated | INR crore totals = INR/Wp x MWp / 10</t>
  </si>
  <si>
    <t xml:space="preserve">Project size (MWp)</t>
  </si>
  <si>
    <t xml:space="preserve">FX (INR/USD)</t>
  </si>
  <si>
    <t xml:space="preserve">Cost line</t>
  </si>
  <si>
    <t xml:space="preserve">Currency</t>
  </si>
  <si>
    <t xml:space="preserve">Unit cost (local)</t>
  </si>
  <si>
    <t xml:space="preserve">INR crore (deal)</t>
  </si>
  <si>
    <t xml:space="preserve">Exposure</t>
  </si>
  <si>
    <t xml:space="preserve">INR</t>
  </si>
  <si>
    <t xml:space="preserve">Steel</t>
  </si>
  <si>
    <t xml:space="preserve">Drives, motors, gearboxes</t>
  </si>
  <si>
    <t xml:space="preserve">USD</t>
  </si>
  <si>
    <t xml:space="preserve">FX</t>
  </si>
  <si>
    <t xml:space="preserve">Controllers, sensors, network</t>
  </si>
  <si>
    <t xml:space="preserve">-</t>
  </si>
  <si>
    <t xml:space="preserve">Logistics (inland freight)</t>
  </si>
  <si>
    <t xml:space="preserve">Total direct cost</t>
  </si>
  <si>
    <t xml:space="preserve">  of which USD-linked (FX exposed)</t>
  </si>
  <si>
    <t xml:space="preserve">  of which steel-index exposed</t>
  </si>
  <si>
    <t xml:space="preserve">Pricing &amp; margin</t>
  </si>
  <si>
    <t xml:space="preserve">Note</t>
  </si>
  <si>
    <t xml:space="preserve">Price book</t>
  </si>
  <si>
    <t xml:space="preserve">Proposed discount %</t>
  </si>
  <si>
    <t xml:space="preserve">Scenario lever (Assumptions)</t>
  </si>
  <si>
    <t xml:space="preserve">Net price to customer</t>
  </si>
  <si>
    <t xml:space="preserve">Quoted price</t>
  </si>
  <si>
    <t xml:space="preserve">Less: total direct cost</t>
  </si>
  <si>
    <t xml:space="preserve">Less: warranty reserve</t>
  </si>
  <si>
    <t xml:space="preserve">Less: sales commission</t>
  </si>
  <si>
    <t xml:space="preserve">Deal-desk checks</t>
  </si>
  <si>
    <t xml:space="preserve">Rule</t>
  </si>
  <si>
    <t xml:space="preserve">CM floor</t>
  </si>
  <si>
    <t xml:space="preserve">CM target</t>
  </si>
  <si>
    <t xml:space="preserve">Minimum acceptable price (CM = floor)</t>
  </si>
  <si>
    <t xml:space="preserve">Direct cost / (1 - floor - warranty% - commission%)</t>
  </si>
  <si>
    <t xml:space="preserve">Price at target CM</t>
  </si>
  <si>
    <t xml:space="preserve">Maximum discount before breaching floor</t>
  </si>
  <si>
    <t xml:space="preserve">Discount authority matrix in Assumptions s.5</t>
  </si>
  <si>
    <t xml:space="preserve">Our net price vs competitor (INR/Wp)</t>
  </si>
  <si>
    <t xml:space="preserve">Our net price vs competitor (%)</t>
  </si>
  <si>
    <t xml:space="preserve">CM % if we matched competitor price</t>
  </si>
  <si>
    <t xml:space="preserve">Can we match competitor and stay above floor?</t>
  </si>
  <si>
    <t xml:space="preserve">Contribution-margin sensitivity (at proposed net price unless stated)</t>
  </si>
  <si>
    <t xml:space="preserve">Each cell recomputes CM% from Quote_Calculator components. Red = below CM floor.</t>
  </si>
  <si>
    <t xml:space="preserve">Net price (INR/Wp)</t>
  </si>
  <si>
    <t xml:space="preserve">Non-exposed INR cost (INR/Wp)</t>
  </si>
  <si>
    <t xml:space="preserve">Steel-exposed cost (INR/Wp)</t>
  </si>
  <si>
    <t xml:space="preserve">USD cost (USD/Wp)</t>
  </si>
  <si>
    <t xml:space="preserve">Variable selling cost % (warranty + commission)</t>
  </si>
  <si>
    <t xml:space="preserve">Table 1: CM% - rows FX (INR/USD), columns steel price change</t>
  </si>
  <si>
    <t xml:space="preserve">Steel -&gt;</t>
  </si>
  <si>
    <t xml:space="preserve">Table 2: CM% - rows discount, columns FX (steel at base)</t>
  </si>
  <si>
    <t xml:space="preserve">FX -&gt;</t>
  </si>
  <si>
    <t xml:space="preserve">Minimum acceptable price (INR/Wp) by FX</t>
  </si>
  <si>
    <t xml:space="preserve">Read-across: a 1 INR move in USD/INR changes direct cost by USD cost x 1 = small; steel is the bigger lever for this mostly-domestic BOM.</t>
  </si>
  <si>
    <t xml:space="preserve">Customer value case - does extra tracker energy pay for the extra cost?</t>
  </si>
  <si>
    <t xml:space="preserve">Incremental cash flows: tracker plant minus fixed-tilt plant | INR crore | pre-tax | uses PVGIS planning case</t>
  </si>
  <si>
    <t xml:space="preserve">Tracker net price (INR/Wp)</t>
  </si>
  <si>
    <t xml:space="preserve">OUTPUTS</t>
  </si>
  <si>
    <t xml:space="preserve">Fixed-tilt structure price (INR/Wp)</t>
  </si>
  <si>
    <t xml:space="preserve">NPV of tracker upgrade (INR crore)</t>
  </si>
  <si>
    <t xml:space="preserve">Incremental capex (INR crore)</t>
  </si>
  <si>
    <t xml:space="preserve">Incremental energy yr1 (GWh)</t>
  </si>
  <si>
    <t xml:space="preserve">Simple payback (years)</t>
  </si>
  <si>
    <t xml:space="preserve">Tariff (INR/kWh)</t>
  </si>
  <si>
    <t xml:space="preserve">PV of incremental benefits (INR crore)</t>
  </si>
  <si>
    <t xml:space="preserve">Extra O&amp;M yr1 (INR crore)</t>
  </si>
  <si>
    <t xml:space="preserve">Break-even tracker price (INR/Wp, NPV = 0)</t>
  </si>
  <si>
    <t xml:space="preserve">Discount rate</t>
  </si>
  <si>
    <t xml:space="preserve">Headroom: break-even minus our net price (INR/Wp)</t>
  </si>
  <si>
    <t xml:space="preserve">Competitor price vs break-even (INR/Wp)</t>
  </si>
  <si>
    <t xml:space="preserve">Year</t>
  </si>
  <si>
    <t xml:space="preserve">Degradation factor</t>
  </si>
  <si>
    <t xml:space="preserve">Incremental energy (GWh)</t>
  </si>
  <si>
    <t xml:space="preserve">Incremental revenue (INR cr)</t>
  </si>
  <si>
    <t xml:space="preserve">Extra O&amp;M (INR cr)</t>
  </si>
  <si>
    <t xml:space="preserve">Incremental capex (INR cr)</t>
  </si>
  <si>
    <t xml:space="preserve">Net incremental CF (INR cr)</t>
  </si>
  <si>
    <t xml:space="preserve">Cumulative CF (INR cr)</t>
  </si>
  <si>
    <t xml:space="preserve">Value of extra energy per Wp (PV, INR/Wp)</t>
  </si>
  <si>
    <t xml:space="preserve">Our premium over competitor (INR crore)</t>
  </si>
  <si>
    <t xml:space="preserve">Extra yr-1 energy that would justify premium (GWh)</t>
  </si>
  <si>
    <t xml:space="preserve">...as % of fixed-tilt yield</t>
  </si>
  <si>
    <t xml:space="preserve">Interpretation: if our net price is below the break-even price, the tracker creates value for the customer</t>
  </si>
  <si>
    <t xml:space="preserve">under these SIMULATED energy and SYNTHETIC cost assumptions. Test with realise = 50% on Assumptions.</t>
  </si>
  <si>
    <t xml:space="preserve">Total</t>
  </si>
  <si>
    <t xml:space="preserve">STRETCH - project finance view: fixed-tilt vs tracker plant (pre-tax, simplified)</t>
  </si>
  <si>
    <t xml:space="preserve">INR crore | annuity debt | no tax, depreciation, working capital or DSRA - extend if time allows</t>
  </si>
  <si>
    <t xml:space="preserve">Fixed-tilt capex (INR cr)</t>
  </si>
  <si>
    <t xml:space="preserve">Tracker capex (INR cr)</t>
  </si>
  <si>
    <t xml:space="preserve">Fixed yield yr1 (GWh)</t>
  </si>
  <si>
    <t xml:space="preserve">Tracker yield yr1 (GWh)</t>
  </si>
  <si>
    <t xml:space="preserve">O&amp;M fixed yr1 (INR cr)</t>
  </si>
  <si>
    <t xml:space="preserve">O&amp;M tracker yr1 (INR cr)</t>
  </si>
  <si>
    <t xml:space="preserve">Debt - fixed (INR cr)</t>
  </si>
  <si>
    <t xml:space="preserve">Debt - tracker (INR cr)</t>
  </si>
  <si>
    <t xml:space="preserve">Annual debt service - fixed</t>
  </si>
  <si>
    <t xml:space="preserve">Annual debt service - tracker</t>
  </si>
  <si>
    <t xml:space="preserve">Fixed: energy GWh</t>
  </si>
  <si>
    <t xml:space="preserve">Fixed: revenue</t>
  </si>
  <si>
    <t xml:space="preserve">Fixed: O&amp;M</t>
  </si>
  <si>
    <t xml:space="preserve">Fixed: project CF</t>
  </si>
  <si>
    <t xml:space="preserve">Fixed: debt service</t>
  </si>
  <si>
    <t xml:space="preserve">Fixed: equity CF</t>
  </si>
  <si>
    <t xml:space="preserve">Fixed: DSCR</t>
  </si>
  <si>
    <t xml:space="preserve">Tracker: energy GWh</t>
  </si>
  <si>
    <t xml:space="preserve">Tracker: revenue</t>
  </si>
  <si>
    <t xml:space="preserve">Tracker: O&amp;M</t>
  </si>
  <si>
    <t xml:space="preserve">Tracker: project CF</t>
  </si>
  <si>
    <t xml:space="preserve">Tracker: debt service</t>
  </si>
  <si>
    <t xml:space="preserve">Tracker: equity CF</t>
  </si>
  <si>
    <t xml:space="preserve">Tracker: DSCR</t>
  </si>
  <si>
    <t xml:space="preserve">Discount factor</t>
  </si>
  <si>
    <t xml:space="preserve">Output</t>
  </si>
  <si>
    <t xml:space="preserve">Fixed-tilt</t>
  </si>
  <si>
    <t xml:space="preserve">Tracker</t>
  </si>
  <si>
    <t xml:space="preserve">Delta</t>
  </si>
  <si>
    <t xml:space="preserve">Project IRR (pre-tax)</t>
  </si>
  <si>
    <t xml:space="preserve">Equity IRR (pre-tax)</t>
  </si>
  <si>
    <t xml:space="preserve">Project NPV @ WACC (INR cr)</t>
  </si>
  <si>
    <t xml:space="preserve">Minimum DSCR</t>
  </si>
  <si>
    <t xml:space="preserve">Average DSCR (debt years)</t>
  </si>
  <si>
    <t xml:space="preserve">LCOE (INR/kWh)</t>
  </si>
  <si>
    <t xml:space="preserve">LCOE = (capex + PV of O&amp;M) / PV of energy, at WACC. (INR crore / GWh) x 10 = INR/kWh.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</si>
</sst>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;\(#,##0\);\-"/>
    <numFmt numFmtId="166" formatCode="#,##0.00;\(#,##0.00\);\-"/>
    <numFmt numFmtId="167" formatCode="0.0%;\(0.0%\);\-"/>
    <numFmt numFmtId="168" formatCode="0.0"/>
    <numFmt numFmtId="169" formatCode="0.00%"/>
    <numFmt numFmtId="170" formatCode="0"/>
    <numFmt numFmtId="171" formatCode="#,##0.00"/>
    <numFmt numFmtId="172" formatCode="0.0%"/>
    <numFmt numFmtId="173" formatCode="0.000"/>
    <numFmt numFmtId="174" formatCode="\+0%;\-0%;0%"/>
    <numFmt numFmtId="175" formatCode="0.00\x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548235"/>
      <name val="Arial"/>
      <family val="0"/>
      <charset val="1"/>
    </font>
    <font>
      <b val="true"/>
      <sz val="11"/>
      <color rgb="FF7F7F7F"/>
      <name val="Arial"/>
      <family val="0"/>
      <charset val="1"/>
    </font>
    <font>
      <b val="true"/>
      <sz val="11"/>
      <color rgb="FFC55A11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C00000"/>
      </font>
    </dxf>
    <dxf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4F81BD"/>
      <rgbColor rgb="FFBFBFBF"/>
      <rgbColor rgb="FF7F7F7F"/>
      <rgbColor rgb="FF8EA9DB"/>
      <rgbColor rgb="FFC0504D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2E75B6"/>
      <rgbColor rgb="FF70AD47"/>
      <rgbColor rgb="FF9BBB59"/>
      <rgbColor rgb="FFFFC000"/>
      <rgbColor rgb="FFFF9900"/>
      <rgbColor rgb="FFC55A11"/>
      <rgbColor rgb="FF595959"/>
      <rgbColor rgb="FF878787"/>
      <rgbColor rgb="FF1F3864"/>
      <rgbColor rgb="FF4A7EB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yield per kWp (PVGIS simulated)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Energy!B4</c:f>
              <c:strCache>
                <c:ptCount val="1"/>
                <c:pt idx="0">
                  <c:v>Fixed-tilt (PVGIS) kWh/kWp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Energy!$A$5:$A$16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Energy!$B$5:$B$16</c:f>
              <c:numCache>
                <c:formatCode>#,##0.00;\(#,##0.00\);\-</c:formatCode>
                <c:ptCount val="12"/>
                <c:pt idx="0">
                  <c:v>160.08</c:v>
                </c:pt>
                <c:pt idx="1">
                  <c:v>150.92</c:v>
                </c:pt>
                <c:pt idx="2">
                  <c:v>164.47</c:v>
                </c:pt>
                <c:pt idx="3">
                  <c:v>155.5</c:v>
                </c:pt>
                <c:pt idx="4">
                  <c:v>150.07</c:v>
                </c:pt>
                <c:pt idx="5">
                  <c:v>132.36</c:v>
                </c:pt>
                <c:pt idx="6">
                  <c:v>120.53</c:v>
                </c:pt>
                <c:pt idx="7">
                  <c:v>119.66</c:v>
                </c:pt>
                <c:pt idx="8">
                  <c:v>133.21</c:v>
                </c:pt>
                <c:pt idx="9">
                  <c:v>155.36</c:v>
                </c:pt>
                <c:pt idx="10">
                  <c:v>148.4</c:v>
                </c:pt>
                <c:pt idx="11">
                  <c:v>156.59</c:v>
                </c:pt>
              </c:numCache>
            </c:numRef>
          </c:val>
        </c:ser>
        <c:ser>
          <c:idx val="1"/>
          <c:order val="1"/>
          <c:tx>
            <c:strRef>
              <c:f>Energy!C4</c:f>
              <c:strCache>
                <c:ptCount val="1"/>
                <c:pt idx="0">
                  <c:v>Tracker ideal (PVGIS) kWh/kWp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Energy!$A$5:$A$16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Energy!$C$5:$C$16</c:f>
              <c:numCache>
                <c:formatCode>#,##0.00;\(#,##0.00\);\-</c:formatCode>
                <c:ptCount val="12"/>
                <c:pt idx="0">
                  <c:v>166.3</c:v>
                </c:pt>
                <c:pt idx="1">
                  <c:v>172.36</c:v>
                </c:pt>
                <c:pt idx="2">
                  <c:v>205.78</c:v>
                </c:pt>
                <c:pt idx="3">
                  <c:v>215.76</c:v>
                </c:pt>
                <c:pt idx="4">
                  <c:v>226.17</c:v>
                </c:pt>
                <c:pt idx="5">
                  <c:v>198.64</c:v>
                </c:pt>
                <c:pt idx="6">
                  <c:v>168.1</c:v>
                </c:pt>
                <c:pt idx="7">
                  <c:v>155.82</c:v>
                </c:pt>
                <c:pt idx="8">
                  <c:v>167.78</c:v>
                </c:pt>
                <c:pt idx="9">
                  <c:v>181.77</c:v>
                </c:pt>
                <c:pt idx="10">
                  <c:v>155.39</c:v>
                </c:pt>
                <c:pt idx="11">
                  <c:v>157.47</c:v>
                </c:pt>
              </c:numCache>
            </c:numRef>
          </c:val>
        </c:ser>
        <c:ser>
          <c:idx val="2"/>
          <c:order val="2"/>
          <c:tx>
            <c:strRef>
              <c:f>Energy!D4</c:f>
              <c:strCache>
                <c:ptCount val="1"/>
                <c:pt idx="0">
                  <c:v>Tracker planning case kWh/kWp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Energy!$A$5:$A$16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Energy!$D$5:$D$16</c:f>
              <c:numCache>
                <c:formatCode>#,##0.00;\(#,##0.00\);\-</c:formatCode>
                <c:ptCount val="12"/>
                <c:pt idx="0">
                  <c:v>164.434</c:v>
                </c:pt>
                <c:pt idx="1">
                  <c:v>165.928</c:v>
                </c:pt>
                <c:pt idx="2">
                  <c:v>193.387</c:v>
                </c:pt>
                <c:pt idx="3">
                  <c:v>197.682</c:v>
                </c:pt>
                <c:pt idx="4">
                  <c:v>203.34</c:v>
                </c:pt>
                <c:pt idx="5">
                  <c:v>178.756</c:v>
                </c:pt>
                <c:pt idx="6">
                  <c:v>153.829</c:v>
                </c:pt>
                <c:pt idx="7">
                  <c:v>144.972</c:v>
                </c:pt>
                <c:pt idx="8">
                  <c:v>157.409</c:v>
                </c:pt>
                <c:pt idx="9">
                  <c:v>173.847</c:v>
                </c:pt>
                <c:pt idx="10">
                  <c:v>153.293</c:v>
                </c:pt>
                <c:pt idx="11">
                  <c:v>157.206</c:v>
                </c:pt>
              </c:numCache>
            </c:numRef>
          </c:val>
        </c:ser>
        <c:gapWidth val="150"/>
        <c:overlap val="0"/>
        <c:axId val="52108831"/>
        <c:axId val="37410538"/>
      </c:barChart>
      <c:catAx>
        <c:axId val="5210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410538"/>
        <c:crosses val="autoZero"/>
        <c:auto val="1"/>
        <c:lblAlgn val="ctr"/>
        <c:lblOffset val="100"/>
        <c:noMultiLvlLbl val="0"/>
      </c:catAx>
      <c:valAx>
        <c:axId val="374105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kWh/kWp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1088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incremental cash flow (INR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Tracker_Value!H12</c:f>
              <c:strCache>
                <c:ptCount val="1"/>
                <c:pt idx="0">
                  <c:v>Cumulative CF (INR cr)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Tracker_Value!$A$13:$A$38</c:f>
              <c:strCach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strCache>
            </c:strRef>
          </c:cat>
          <c:val>
            <c:numRef>
              <c:f>Tracker_Value!$H$13:$H$38</c:f>
              <c:numCache>
                <c:formatCode>#,##0.00;\(#,##0.00\);\-</c:formatCode>
                <c:ptCount val="26"/>
                <c:pt idx="0">
                  <c:v>-38.57</c:v>
                </c:pt>
                <c:pt idx="1">
                  <c:v>-31.449378</c:v>
                </c:pt>
                <c:pt idx="2">
                  <c:v>-24.38535911</c:v>
                </c:pt>
                <c:pt idx="3">
                  <c:v>-17.37829031445</c:v>
                </c:pt>
                <c:pt idx="4">
                  <c:v>-10.4285357628777</c:v>
                </c:pt>
                <c:pt idx="5">
                  <c:v>-3.53647725106334</c:v>
                </c:pt>
                <c:pt idx="6">
                  <c:v>3.29748528318198</c:v>
                </c:pt>
                <c:pt idx="7">
                  <c:v>10.0729332491958</c:v>
                </c:pt>
                <c:pt idx="8">
                  <c:v>16.7894288771524</c:v>
                </c:pt>
                <c:pt idx="9">
                  <c:v>23.4465146757953</c:v>
                </c:pt>
                <c:pt idx="10">
                  <c:v>30.0437128737359</c:v>
                </c:pt>
                <c:pt idx="11">
                  <c:v>36.5805248438263</c:v>
                </c:pt>
                <c:pt idx="12">
                  <c:v>43.0564305101001</c:v>
                </c:pt>
                <c:pt idx="13">
                  <c:v>49.4708877367572</c:v>
                </c:pt>
                <c:pt idx="14">
                  <c:v>55.8233316986574</c:v>
                </c:pt>
                <c:pt idx="15">
                  <c:v>62.1131742327655</c:v>
                </c:pt>
                <c:pt idx="16">
                  <c:v>68.3398031699811</c:v>
                </c:pt>
                <c:pt idx="17">
                  <c:v>74.5025816467621</c:v>
                </c:pt>
                <c:pt idx="18">
                  <c:v>80.6008473959381</c:v>
                </c:pt>
                <c:pt idx="19">
                  <c:v>86.6339120160904</c:v>
                </c:pt>
                <c:pt idx="20">
                  <c:v>92.601060218856</c:v>
                </c:pt>
                <c:pt idx="21">
                  <c:v>98.5015490534931</c:v>
                </c:pt>
                <c:pt idx="22">
                  <c:v>104.334607108029</c:v>
                </c:pt>
                <c:pt idx="23">
                  <c:v>110.099433686286</c:v>
                </c:pt>
                <c:pt idx="24">
                  <c:v>115.795197960066</c:v>
                </c:pt>
                <c:pt idx="25">
                  <c:v>121.421038095744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5681511"/>
        <c:axId val="49354115"/>
      </c:lineChart>
      <c:catAx>
        <c:axId val="7568151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354115"/>
        <c:crosses val="autoZero"/>
        <c:auto val="1"/>
        <c:lblAlgn val="ctr"/>
        <c:lblOffset val="100"/>
        <c:noMultiLvlLbl val="0"/>
      </c:catAx>
      <c:valAx>
        <c:axId val="493541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6815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16</xdr:col>
      <xdr:colOff>364680</xdr:colOff>
      <xdr:row>16</xdr:row>
      <xdr:rowOff>61560</xdr:rowOff>
    </xdr:to>
    <xdr:graphicFrame>
      <xdr:nvGraphicFramePr>
        <xdr:cNvPr id="0" name="Chart 1"/>
        <xdr:cNvGraphicFramePr/>
      </xdr:nvGraphicFramePr>
      <xdr:xfrm>
        <a:off x="773064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17</xdr:row>
      <xdr:rowOff>39240</xdr:rowOff>
    </xdr:from>
    <xdr:to>
      <xdr:col>13</xdr:col>
      <xdr:colOff>307440</xdr:colOff>
      <xdr:row>30</xdr:row>
      <xdr:rowOff>82440</xdr:rowOff>
    </xdr:to>
    <xdr:graphicFrame>
      <xdr:nvGraphicFramePr>
        <xdr:cNvPr id="1" name="Chart 1"/>
        <xdr:cNvGraphicFramePr/>
      </xdr:nvGraphicFramePr>
      <xdr:xfrm>
        <a:off x="9726840" y="361944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4" t="s">
        <v>5</v>
      </c>
    </row>
    <row r="6" customFormat="false" ht="15" hidden="false" customHeight="false" outlineLevel="0" collapsed="false">
      <c r="A6" s="5" t="s">
        <v>6</v>
      </c>
      <c r="B6" s="4" t="s">
        <v>7</v>
      </c>
    </row>
    <row r="7" customFormat="false" ht="15" hidden="false" customHeight="false" outlineLevel="0" collapsed="false">
      <c r="A7" s="5"/>
      <c r="B7" s="4"/>
    </row>
    <row r="8" customFormat="false" ht="15" hidden="false" customHeight="false" outlineLevel="0" collapsed="false">
      <c r="A8" s="3" t="s">
        <v>8</v>
      </c>
      <c r="B8" s="4"/>
    </row>
    <row r="9" customFormat="false" ht="26.85" hidden="false" customHeight="false" outlineLevel="0" collapsed="false">
      <c r="A9" s="5" t="s">
        <v>9</v>
      </c>
      <c r="B9" s="4" t="s">
        <v>10</v>
      </c>
    </row>
    <row r="10" customFormat="false" ht="26.85" hidden="false" customHeight="false" outlineLevel="0" collapsed="false">
      <c r="A10" s="5" t="s">
        <v>11</v>
      </c>
      <c r="B10" s="4" t="s">
        <v>12</v>
      </c>
    </row>
    <row r="11" customFormat="false" ht="15" hidden="false" customHeight="false" outlineLevel="0" collapsed="false">
      <c r="A11" s="5" t="s">
        <v>13</v>
      </c>
      <c r="B11" s="4" t="s">
        <v>14</v>
      </c>
    </row>
    <row r="12" customFormat="false" ht="15" hidden="false" customHeight="false" outlineLevel="0" collapsed="false">
      <c r="A12" s="5" t="s">
        <v>15</v>
      </c>
      <c r="B12" s="4" t="s">
        <v>16</v>
      </c>
    </row>
    <row r="13" customFormat="false" ht="15" hidden="false" customHeight="false" outlineLevel="0" collapsed="false">
      <c r="A13" s="5" t="s">
        <v>17</v>
      </c>
      <c r="B13" s="4" t="s">
        <v>18</v>
      </c>
    </row>
    <row r="14" customFormat="false" ht="15" hidden="false" customHeight="false" outlineLevel="0" collapsed="false">
      <c r="A14" s="5" t="s">
        <v>19</v>
      </c>
      <c r="B14" s="4" t="s">
        <v>20</v>
      </c>
    </row>
    <row r="15" customFormat="false" ht="15" hidden="false" customHeight="false" outlineLevel="0" collapsed="false">
      <c r="A15" s="5" t="s">
        <v>21</v>
      </c>
      <c r="B15" s="4" t="s">
        <v>22</v>
      </c>
    </row>
    <row r="16" customFormat="false" ht="15" hidden="false" customHeight="false" outlineLevel="0" collapsed="false">
      <c r="A16" s="5"/>
      <c r="B16" s="4"/>
    </row>
    <row r="17" customFormat="false" ht="15" hidden="false" customHeight="false" outlineLevel="0" collapsed="false">
      <c r="A17" s="3" t="s">
        <v>23</v>
      </c>
      <c r="B17" s="4"/>
    </row>
    <row r="18" customFormat="false" ht="15" hidden="false" customHeight="false" outlineLevel="0" collapsed="false">
      <c r="A18" s="6" t="s">
        <v>24</v>
      </c>
      <c r="B18" s="4" t="s">
        <v>25</v>
      </c>
    </row>
    <row r="19" customFormat="false" ht="15" hidden="false" customHeight="false" outlineLevel="0" collapsed="false">
      <c r="A19" s="7" t="s">
        <v>26</v>
      </c>
      <c r="B19" s="4" t="s">
        <v>27</v>
      </c>
    </row>
    <row r="20" customFormat="false" ht="15" hidden="false" customHeight="false" outlineLevel="0" collapsed="false">
      <c r="A20" s="5" t="s">
        <v>28</v>
      </c>
      <c r="B20" s="4" t="s">
        <v>29</v>
      </c>
    </row>
    <row r="21" customFormat="false" ht="15" hidden="false" customHeight="false" outlineLevel="0" collapsed="false">
      <c r="A21" s="8" t="s">
        <v>30</v>
      </c>
      <c r="B21" s="4" t="s">
        <v>31</v>
      </c>
    </row>
    <row r="22" customFormat="false" ht="15" hidden="false" customHeight="false" outlineLevel="0" collapsed="false">
      <c r="A22" s="9" t="s">
        <v>32</v>
      </c>
      <c r="B22" s="4" t="s">
        <v>33</v>
      </c>
    </row>
    <row r="23" customFormat="false" ht="15" hidden="false" customHeight="false" outlineLevel="0" collapsed="false">
      <c r="A23" s="5"/>
      <c r="B23" s="4"/>
    </row>
    <row r="24" customFormat="false" ht="15" hidden="false" customHeight="false" outlineLevel="0" collapsed="false">
      <c r="A24" s="3" t="s">
        <v>34</v>
      </c>
      <c r="B24" s="4"/>
    </row>
    <row r="25" customFormat="false" ht="26.85" hidden="false" customHeight="false" outlineLevel="0" collapsed="false">
      <c r="A25" s="5" t="s">
        <v>35</v>
      </c>
      <c r="B25" s="4" t="s">
        <v>36</v>
      </c>
    </row>
    <row r="26" customFormat="false" ht="15" hidden="false" customHeight="false" outlineLevel="0" collapsed="false">
      <c r="A26" s="5" t="s">
        <v>37</v>
      </c>
      <c r="B26" s="4" t="s">
        <v>38</v>
      </c>
    </row>
    <row r="27" customFormat="false" ht="15" hidden="false" customHeight="false" outlineLevel="0" collapsed="false">
      <c r="A27" s="5" t="s">
        <v>39</v>
      </c>
      <c r="B27" s="4" t="s">
        <v>40</v>
      </c>
    </row>
    <row r="28" customFormat="false" ht="15" hidden="false" customHeight="false" outlineLevel="0" collapsed="false">
      <c r="A28" s="5" t="s">
        <v>41</v>
      </c>
      <c r="B28" s="4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10" t="s">
        <v>45</v>
      </c>
      <c r="B4" s="10" t="s">
        <v>46</v>
      </c>
      <c r="C4" s="10" t="s">
        <v>47</v>
      </c>
    </row>
    <row r="5" customFormat="false" ht="15" hidden="false" customHeight="false" outlineLevel="0" collapsed="false">
      <c r="A5" s="11" t="s">
        <v>48</v>
      </c>
      <c r="B5" s="12"/>
      <c r="C5" s="12"/>
    </row>
    <row r="6" customFormat="false" ht="15" hidden="false" customHeight="false" outlineLevel="0" collapsed="false">
      <c r="A6" s="13" t="s">
        <v>49</v>
      </c>
      <c r="B6" s="14" t="n">
        <f aca="false">Assumptions!$C$6</f>
        <v>100</v>
      </c>
      <c r="C6" s="13" t="s">
        <v>50</v>
      </c>
    </row>
    <row r="7" customFormat="false" ht="15" hidden="false" customHeight="false" outlineLevel="0" collapsed="false">
      <c r="A7" s="13" t="s">
        <v>51</v>
      </c>
      <c r="B7" s="15" t="n">
        <f aca="false">Quote_Calculator!D20</f>
        <v>8.1</v>
      </c>
      <c r="C7" s="13" t="s">
        <v>52</v>
      </c>
    </row>
    <row r="8" customFormat="false" ht="15" hidden="false" customHeight="false" outlineLevel="0" collapsed="false">
      <c r="A8" s="13" t="s">
        <v>53</v>
      </c>
      <c r="B8" s="16" t="n">
        <f aca="false">Quote_Calculator!D21</f>
        <v>0.03</v>
      </c>
      <c r="C8" s="13" t="s">
        <v>54</v>
      </c>
    </row>
    <row r="9" customFormat="false" ht="15" hidden="false" customHeight="false" outlineLevel="0" collapsed="false">
      <c r="A9" s="13" t="s">
        <v>55</v>
      </c>
      <c r="B9" s="15" t="n">
        <f aca="false">Quote_Calculator!D22</f>
        <v>7.857</v>
      </c>
      <c r="C9" s="13" t="s">
        <v>52</v>
      </c>
    </row>
    <row r="10" customFormat="false" ht="15" hidden="false" customHeight="false" outlineLevel="0" collapsed="false">
      <c r="A10" s="13" t="s">
        <v>56</v>
      </c>
      <c r="B10" s="15" t="n">
        <f aca="false">Quote_Calculator!E22</f>
        <v>78.57</v>
      </c>
      <c r="C10" s="13" t="s">
        <v>57</v>
      </c>
    </row>
    <row r="11" customFormat="false" ht="15" hidden="false" customHeight="false" outlineLevel="0" collapsed="false">
      <c r="A11" s="13" t="s">
        <v>58</v>
      </c>
      <c r="B11" s="15" t="n">
        <f aca="false">Quote_Calculator!E22*10^7/Assumptions!$C$19/10^6</f>
        <v>8.27488151658768</v>
      </c>
      <c r="C11" s="13" t="s">
        <v>59</v>
      </c>
    </row>
    <row r="12" customFormat="false" ht="15" hidden="false" customHeight="false" outlineLevel="0" collapsed="false">
      <c r="A12" s="13" t="s">
        <v>60</v>
      </c>
      <c r="B12" s="15" t="n">
        <f aca="false">Quote_Calculator!E26</f>
        <v>12.26225</v>
      </c>
      <c r="C12" s="13" t="s">
        <v>57</v>
      </c>
    </row>
    <row r="13" customFormat="false" ht="15" hidden="false" customHeight="false" outlineLevel="0" collapsed="false">
      <c r="A13" s="13" t="s">
        <v>61</v>
      </c>
      <c r="B13" s="16" t="n">
        <f aca="false">Quote_Calculator!D27</f>
        <v>0.156067837597047</v>
      </c>
      <c r="C13" s="13" t="s">
        <v>54</v>
      </c>
    </row>
    <row r="14" customFormat="false" ht="15" hidden="false" customHeight="false" outlineLevel="0" collapsed="false">
      <c r="A14" s="13" t="s">
        <v>62</v>
      </c>
      <c r="B14" s="15" t="n">
        <f aca="false">Quote_Calculator!D32</f>
        <v>7.52555555555556</v>
      </c>
      <c r="C14" s="13" t="s">
        <v>52</v>
      </c>
    </row>
    <row r="15" customFormat="false" ht="15" hidden="false" customHeight="false" outlineLevel="0" collapsed="false">
      <c r="A15" s="13" t="s">
        <v>63</v>
      </c>
      <c r="B15" s="16" t="n">
        <f aca="false">Quote_Calculator!D34</f>
        <v>0.0709190672153635</v>
      </c>
      <c r="C15" s="13" t="s">
        <v>54</v>
      </c>
    </row>
    <row r="16" customFormat="false" ht="15" hidden="false" customHeight="false" outlineLevel="0" collapsed="false">
      <c r="A16" s="13" t="s">
        <v>64</v>
      </c>
      <c r="B16" s="17" t="str">
        <f aca="false">Quote_Calculator!D35</f>
        <v>OK - below target</v>
      </c>
      <c r="C16" s="13"/>
    </row>
    <row r="17" customFormat="false" ht="15" hidden="false" customHeight="false" outlineLevel="0" collapsed="false">
      <c r="A17" s="13" t="s">
        <v>65</v>
      </c>
      <c r="B17" s="17" t="str">
        <f aca="false">Quote_Calculator!D36</f>
        <v>Sales Manager</v>
      </c>
      <c r="C17" s="13"/>
    </row>
    <row r="18" customFormat="false" ht="15" hidden="false" customHeight="false" outlineLevel="0" collapsed="false">
      <c r="A18" s="13" t="s">
        <v>66</v>
      </c>
      <c r="B18" s="15" t="n">
        <f aca="false">Quote_Calculator!D38</f>
        <v>7.6</v>
      </c>
      <c r="C18" s="13" t="s">
        <v>52</v>
      </c>
    </row>
    <row r="19" customFormat="false" ht="15" hidden="false" customHeight="false" outlineLevel="0" collapsed="false">
      <c r="A19" s="13" t="s">
        <v>67</v>
      </c>
      <c r="B19" s="16" t="n">
        <f aca="false">Quote_Calculator!D41</f>
        <v>0.128375</v>
      </c>
      <c r="C19" s="13" t="s">
        <v>54</v>
      </c>
    </row>
    <row r="20" customFormat="false" ht="15" hidden="false" customHeight="false" outlineLevel="0" collapsed="false">
      <c r="A20" s="11" t="s">
        <v>68</v>
      </c>
      <c r="B20" s="12"/>
      <c r="C20" s="12"/>
    </row>
    <row r="21" customFormat="false" ht="15" hidden="false" customHeight="false" outlineLevel="0" collapsed="false">
      <c r="A21" s="13" t="s">
        <v>69</v>
      </c>
      <c r="B21" s="16" t="n">
        <f aca="false">Energy!B22</f>
        <v>0.242802522980414</v>
      </c>
      <c r="C21" s="13" t="s">
        <v>54</v>
      </c>
    </row>
    <row r="22" customFormat="false" ht="15" hidden="false" customHeight="false" outlineLevel="0" collapsed="false">
      <c r="A22" s="13" t="s">
        <v>70</v>
      </c>
      <c r="B22" s="16" t="n">
        <f aca="false">Energy!B23</f>
        <v>0.16996176608629</v>
      </c>
      <c r="C22" s="13" t="s">
        <v>54</v>
      </c>
    </row>
    <row r="23" customFormat="false" ht="15" hidden="false" customHeight="false" outlineLevel="0" collapsed="false">
      <c r="A23" s="13" t="s">
        <v>71</v>
      </c>
      <c r="B23" s="15" t="n">
        <f aca="false">Energy!B26</f>
        <v>29.6947</v>
      </c>
      <c r="C23" s="13" t="s">
        <v>72</v>
      </c>
    </row>
    <row r="24" customFormat="false" ht="15" hidden="false" customHeight="false" outlineLevel="0" collapsed="false">
      <c r="A24" s="13" t="s">
        <v>73</v>
      </c>
      <c r="B24" s="15" t="n">
        <f aca="false">Tracker_Value!K5</f>
        <v>26.8131779506875</v>
      </c>
      <c r="C24" s="13" t="s">
        <v>57</v>
      </c>
    </row>
    <row r="25" customFormat="false" ht="15" hidden="false" customHeight="false" outlineLevel="0" collapsed="false">
      <c r="A25" s="13" t="s">
        <v>74</v>
      </c>
      <c r="B25" s="16" t="n">
        <f aca="false">Tracker_Value!K6</f>
        <v>0.173313750302678</v>
      </c>
      <c r="C25" s="13" t="s">
        <v>54</v>
      </c>
    </row>
    <row r="26" customFormat="false" ht="15" hidden="false" customHeight="false" outlineLevel="0" collapsed="false">
      <c r="A26" s="13" t="s">
        <v>75</v>
      </c>
      <c r="B26" s="18" t="n">
        <f aca="false">Tracker_Value!K7</f>
        <v>5.51748560711913</v>
      </c>
      <c r="C26" s="13" t="s">
        <v>76</v>
      </c>
    </row>
    <row r="27" customFormat="false" ht="15" hidden="false" customHeight="false" outlineLevel="0" collapsed="false">
      <c r="A27" s="13" t="s">
        <v>77</v>
      </c>
      <c r="B27" s="15" t="n">
        <f aca="false">Tracker_Value!K9</f>
        <v>10.5383177950688</v>
      </c>
      <c r="C27" s="13" t="s">
        <v>52</v>
      </c>
    </row>
    <row r="28" customFormat="false" ht="15" hidden="false" customHeight="false" outlineLevel="0" collapsed="false">
      <c r="A28" s="13" t="s">
        <v>78</v>
      </c>
      <c r="B28" s="19" t="n">
        <f aca="false">Tracker_Value!K15</f>
        <v>0.00598727058726705</v>
      </c>
      <c r="C28" s="13" t="s">
        <v>79</v>
      </c>
    </row>
    <row r="29" customFormat="false" ht="15" hidden="false" customHeight="false" outlineLevel="0" collapsed="false">
      <c r="A29" s="11" t="s">
        <v>80</v>
      </c>
      <c r="B29" s="12"/>
      <c r="C29" s="12"/>
    </row>
    <row r="30" customFormat="false" ht="15" hidden="false" customHeight="false" outlineLevel="0" collapsed="false">
      <c r="A30" s="13" t="s">
        <v>81</v>
      </c>
      <c r="B30" s="17" t="str">
        <f aca="false">TEXT(Project_Finance!B45,"0.0%")&amp;" / "&amp;TEXT(Project_Finance!C45,"0.0%")</f>
        <v>10.1% / 10.8%</v>
      </c>
      <c r="C30" s="13"/>
    </row>
    <row r="31" customFormat="false" ht="15" hidden="false" customHeight="false" outlineLevel="0" collapsed="false">
      <c r="A31" s="13" t="s">
        <v>82</v>
      </c>
      <c r="B31" s="17" t="str">
        <f aca="false">TEXT(Project_Finance!B46,"0.0%")&amp;" / "&amp;TEXT(Project_Finance!C46,"0.0%")</f>
        <v>11.2% / 13.2%</v>
      </c>
      <c r="C31" s="13"/>
    </row>
    <row r="32" customFormat="false" ht="15" hidden="false" customHeight="false" outlineLevel="0" collapsed="false">
      <c r="A32" s="13" t="s">
        <v>83</v>
      </c>
      <c r="B32" s="17" t="str">
        <f aca="false">TEXT(Project_Finance!B48,"0.00")&amp;"x / "&amp;TEXT(Project_Finance!C48,"0.00")&amp;"x"</f>
        <v>1.10x / 1.16x</v>
      </c>
      <c r="C32" s="13"/>
    </row>
    <row r="33" customFormat="false" ht="15" hidden="false" customHeight="false" outlineLevel="0" collapsed="false">
      <c r="A33" s="13" t="s">
        <v>84</v>
      </c>
      <c r="B33" s="17" t="str">
        <f aca="false">TEXT(Project_Finance!B50,"0.000")&amp;" / "&amp;TEXT(Project_Finance!C50,"0.000")</f>
        <v>2.426 / 2.312</v>
      </c>
      <c r="C33" s="13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F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8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21"/>
    <col collapsed="false" customWidth="true" hidden="false" outlineLevel="0" max="6" min="6" style="0" width="95"/>
  </cols>
  <sheetData>
    <row r="1" customFormat="false" ht="17.35" hidden="false" customHeight="false" outlineLevel="0" collapsed="false">
      <c r="A1" s="1" t="s">
        <v>86</v>
      </c>
    </row>
    <row r="2" customFormat="false" ht="15" hidden="false" customHeight="false" outlineLevel="0" collapsed="false">
      <c r="A2" s="2" t="s">
        <v>87</v>
      </c>
    </row>
    <row r="4" customFormat="false" ht="15" hidden="false" customHeight="false" outlineLevel="0" collapsed="false">
      <c r="A4" s="10" t="s">
        <v>88</v>
      </c>
      <c r="B4" s="10" t="s">
        <v>89</v>
      </c>
      <c r="C4" s="10" t="s">
        <v>46</v>
      </c>
      <c r="D4" s="10" t="s">
        <v>47</v>
      </c>
      <c r="E4" s="10" t="s">
        <v>90</v>
      </c>
      <c r="F4" s="10" t="s">
        <v>91</v>
      </c>
    </row>
    <row r="5" customFormat="false" ht="15" hidden="false" customHeight="false" outlineLevel="0" collapsed="false">
      <c r="A5" s="20" t="s">
        <v>92</v>
      </c>
      <c r="B5" s="12"/>
      <c r="C5" s="12"/>
      <c r="D5" s="12"/>
      <c r="E5" s="12"/>
      <c r="F5" s="12"/>
    </row>
    <row r="6" customFormat="false" ht="15" hidden="false" customHeight="false" outlineLevel="0" collapsed="false">
      <c r="A6" s="2" t="s">
        <v>93</v>
      </c>
      <c r="B6" s="5" t="s">
        <v>94</v>
      </c>
      <c r="C6" s="21" t="n">
        <v>100</v>
      </c>
      <c r="D6" s="5" t="s">
        <v>50</v>
      </c>
      <c r="E6" s="22" t="s">
        <v>41</v>
      </c>
      <c r="F6" s="4" t="s">
        <v>95</v>
      </c>
    </row>
    <row r="7" customFormat="false" ht="15" hidden="false" customHeight="false" outlineLevel="0" collapsed="false">
      <c r="A7" s="2" t="s">
        <v>96</v>
      </c>
      <c r="B7" s="5" t="s">
        <v>97</v>
      </c>
      <c r="C7" s="23" t="n">
        <v>27.3</v>
      </c>
      <c r="D7" s="5" t="s">
        <v>98</v>
      </c>
      <c r="E7" s="22" t="s">
        <v>41</v>
      </c>
      <c r="F7" s="4" t="s">
        <v>99</v>
      </c>
    </row>
    <row r="8" customFormat="false" ht="15" hidden="false" customHeight="false" outlineLevel="0" collapsed="false">
      <c r="A8" s="2" t="s">
        <v>100</v>
      </c>
      <c r="B8" s="5" t="s">
        <v>101</v>
      </c>
      <c r="C8" s="23" t="n">
        <v>72.4</v>
      </c>
      <c r="D8" s="5" t="s">
        <v>102</v>
      </c>
      <c r="E8" s="22" t="s">
        <v>41</v>
      </c>
      <c r="F8" s="4" t="s">
        <v>103</v>
      </c>
    </row>
    <row r="9" customFormat="false" ht="15" hidden="false" customHeight="false" outlineLevel="0" collapsed="false">
      <c r="A9" s="2" t="s">
        <v>104</v>
      </c>
      <c r="B9" s="5" t="s">
        <v>105</v>
      </c>
      <c r="C9" s="24" t="n">
        <v>25</v>
      </c>
      <c r="D9" s="5" t="s">
        <v>76</v>
      </c>
      <c r="E9" s="25" t="s">
        <v>39</v>
      </c>
      <c r="F9" s="4" t="s">
        <v>106</v>
      </c>
    </row>
    <row r="11" customFormat="false" ht="15" hidden="false" customHeight="false" outlineLevel="0" collapsed="false">
      <c r="A11" s="20" t="s">
        <v>107</v>
      </c>
      <c r="B11" s="12"/>
      <c r="C11" s="12"/>
      <c r="D11" s="12"/>
      <c r="E11" s="12"/>
      <c r="F11" s="12"/>
    </row>
    <row r="12" customFormat="false" ht="26.85" hidden="false" customHeight="false" outlineLevel="0" collapsed="false">
      <c r="A12" s="2" t="s">
        <v>108</v>
      </c>
      <c r="B12" s="5" t="s">
        <v>109</v>
      </c>
      <c r="C12" s="23" t="n">
        <v>1747.14</v>
      </c>
      <c r="D12" s="5" t="s">
        <v>110</v>
      </c>
      <c r="E12" s="26" t="s">
        <v>35</v>
      </c>
      <c r="F12" s="4" t="s">
        <v>111</v>
      </c>
    </row>
    <row r="13" customFormat="false" ht="26.85" hidden="false" customHeight="false" outlineLevel="0" collapsed="false">
      <c r="A13" s="2" t="s">
        <v>112</v>
      </c>
      <c r="B13" s="5" t="s">
        <v>113</v>
      </c>
      <c r="C13" s="23" t="n">
        <v>2171.35</v>
      </c>
      <c r="D13" s="5" t="s">
        <v>110</v>
      </c>
      <c r="E13" s="26" t="s">
        <v>35</v>
      </c>
      <c r="F13" s="4" t="s">
        <v>114</v>
      </c>
    </row>
    <row r="14" customFormat="false" ht="26.85" hidden="false" customHeight="false" outlineLevel="0" collapsed="false">
      <c r="A14" s="2" t="s">
        <v>115</v>
      </c>
      <c r="B14" s="5" t="s">
        <v>116</v>
      </c>
      <c r="C14" s="27" t="n">
        <v>0.7</v>
      </c>
      <c r="D14" s="5" t="s">
        <v>54</v>
      </c>
      <c r="E14" s="25" t="s">
        <v>39</v>
      </c>
      <c r="F14" s="4" t="s">
        <v>117</v>
      </c>
    </row>
    <row r="15" customFormat="false" ht="15" hidden="false" customHeight="false" outlineLevel="0" collapsed="false">
      <c r="A15" s="2" t="s">
        <v>118</v>
      </c>
      <c r="B15" s="5" t="s">
        <v>119</v>
      </c>
      <c r="C15" s="28" t="n">
        <v>0.005</v>
      </c>
      <c r="D15" s="5" t="s">
        <v>120</v>
      </c>
      <c r="E15" s="25" t="s">
        <v>39</v>
      </c>
      <c r="F15" s="4" t="s">
        <v>121</v>
      </c>
    </row>
    <row r="17" customFormat="false" ht="15" hidden="false" customHeight="false" outlineLevel="0" collapsed="false">
      <c r="A17" s="20" t="s">
        <v>122</v>
      </c>
      <c r="B17" s="12"/>
      <c r="C17" s="12"/>
      <c r="D17" s="12"/>
      <c r="E17" s="12"/>
      <c r="F17" s="12"/>
    </row>
    <row r="18" customFormat="false" ht="26.85" hidden="false" customHeight="false" outlineLevel="0" collapsed="false">
      <c r="A18" s="2" t="s">
        <v>123</v>
      </c>
      <c r="B18" s="5" t="s">
        <v>124</v>
      </c>
      <c r="C18" s="29" t="n">
        <v>2.6</v>
      </c>
      <c r="D18" s="5" t="s">
        <v>85</v>
      </c>
      <c r="E18" s="30" t="s">
        <v>37</v>
      </c>
      <c r="F18" s="4" t="s">
        <v>125</v>
      </c>
    </row>
    <row r="19" customFormat="false" ht="15" hidden="false" customHeight="false" outlineLevel="0" collapsed="false">
      <c r="A19" s="2" t="s">
        <v>126</v>
      </c>
      <c r="B19" s="5" t="s">
        <v>127</v>
      </c>
      <c r="C19" s="29" t="n">
        <v>94.95</v>
      </c>
      <c r="D19" s="5" t="s">
        <v>128</v>
      </c>
      <c r="E19" s="30" t="s">
        <v>37</v>
      </c>
      <c r="F19" s="4" t="s">
        <v>129</v>
      </c>
    </row>
    <row r="20" customFormat="false" ht="26.85" hidden="false" customHeight="false" outlineLevel="0" collapsed="false">
      <c r="A20" s="2" t="s">
        <v>130</v>
      </c>
      <c r="B20" s="5" t="s">
        <v>131</v>
      </c>
      <c r="C20" s="23" t="n">
        <v>31</v>
      </c>
      <c r="D20" s="5" t="s">
        <v>52</v>
      </c>
      <c r="E20" s="25" t="s">
        <v>39</v>
      </c>
      <c r="F20" s="4" t="s">
        <v>132</v>
      </c>
    </row>
    <row r="21" customFormat="false" ht="15" hidden="false" customHeight="false" outlineLevel="0" collapsed="false">
      <c r="A21" s="2" t="s">
        <v>133</v>
      </c>
      <c r="B21" s="5" t="s">
        <v>134</v>
      </c>
      <c r="C21" s="23" t="n">
        <v>4</v>
      </c>
      <c r="D21" s="5" t="s">
        <v>52</v>
      </c>
      <c r="E21" s="25" t="s">
        <v>39</v>
      </c>
      <c r="F21" s="4" t="s">
        <v>135</v>
      </c>
    </row>
    <row r="22" customFormat="false" ht="15" hidden="false" customHeight="false" outlineLevel="0" collapsed="false">
      <c r="A22" s="2" t="s">
        <v>136</v>
      </c>
      <c r="B22" s="5" t="s">
        <v>137</v>
      </c>
      <c r="C22" s="23" t="n">
        <v>4</v>
      </c>
      <c r="D22" s="5" t="s">
        <v>138</v>
      </c>
      <c r="E22" s="25" t="s">
        <v>39</v>
      </c>
      <c r="F22" s="4" t="s">
        <v>139</v>
      </c>
    </row>
    <row r="23" customFormat="false" ht="15" hidden="false" customHeight="false" outlineLevel="0" collapsed="false">
      <c r="A23" s="2" t="s">
        <v>140</v>
      </c>
      <c r="B23" s="5" t="s">
        <v>141</v>
      </c>
      <c r="C23" s="23" t="n">
        <v>0.6</v>
      </c>
      <c r="D23" s="5" t="s">
        <v>138</v>
      </c>
      <c r="E23" s="25" t="s">
        <v>39</v>
      </c>
      <c r="F23" s="4" t="s">
        <v>142</v>
      </c>
    </row>
    <row r="24" customFormat="false" ht="15" hidden="false" customHeight="false" outlineLevel="0" collapsed="false">
      <c r="A24" s="2" t="s">
        <v>143</v>
      </c>
      <c r="B24" s="5" t="s">
        <v>144</v>
      </c>
      <c r="C24" s="31" t="n">
        <v>0.03</v>
      </c>
      <c r="D24" s="5" t="s">
        <v>120</v>
      </c>
      <c r="E24" s="25" t="s">
        <v>39</v>
      </c>
      <c r="F24" s="4"/>
    </row>
    <row r="25" customFormat="false" ht="15" hidden="false" customHeight="false" outlineLevel="0" collapsed="false">
      <c r="A25" s="2" t="s">
        <v>145</v>
      </c>
      <c r="B25" s="5" t="s">
        <v>146</v>
      </c>
      <c r="C25" s="27" t="n">
        <v>0.09</v>
      </c>
      <c r="D25" s="5" t="s">
        <v>54</v>
      </c>
      <c r="E25" s="25" t="s">
        <v>39</v>
      </c>
      <c r="F25" s="4" t="s">
        <v>147</v>
      </c>
    </row>
    <row r="26" customFormat="false" ht="15" hidden="false" customHeight="false" outlineLevel="0" collapsed="false">
      <c r="A26" s="2" t="s">
        <v>148</v>
      </c>
      <c r="B26" s="5" t="s">
        <v>149</v>
      </c>
      <c r="C26" s="31" t="n">
        <v>0.75</v>
      </c>
      <c r="D26" s="5" t="s">
        <v>54</v>
      </c>
      <c r="E26" s="25" t="s">
        <v>39</v>
      </c>
      <c r="F26" s="4" t="s">
        <v>150</v>
      </c>
    </row>
    <row r="27" customFormat="false" ht="15" hidden="false" customHeight="false" outlineLevel="0" collapsed="false">
      <c r="A27" s="2" t="s">
        <v>151</v>
      </c>
      <c r="B27" s="5" t="s">
        <v>152</v>
      </c>
      <c r="C27" s="28" t="n">
        <v>0.0925</v>
      </c>
      <c r="D27" s="5" t="s">
        <v>54</v>
      </c>
      <c r="E27" s="25" t="s">
        <v>39</v>
      </c>
      <c r="F27" s="4"/>
    </row>
    <row r="28" customFormat="false" ht="15" hidden="false" customHeight="false" outlineLevel="0" collapsed="false">
      <c r="A28" s="2" t="s">
        <v>153</v>
      </c>
      <c r="B28" s="5" t="s">
        <v>154</v>
      </c>
      <c r="C28" s="24" t="n">
        <v>15</v>
      </c>
      <c r="D28" s="5" t="s">
        <v>76</v>
      </c>
      <c r="E28" s="25" t="s">
        <v>39</v>
      </c>
      <c r="F28" s="4" t="s">
        <v>155</v>
      </c>
    </row>
    <row r="30" customFormat="false" ht="15" hidden="false" customHeight="false" outlineLevel="0" collapsed="false">
      <c r="A30" s="20" t="s">
        <v>156</v>
      </c>
      <c r="B30" s="12"/>
      <c r="C30" s="12"/>
      <c r="D30" s="12"/>
      <c r="E30" s="12"/>
      <c r="F30" s="12"/>
    </row>
    <row r="31" customFormat="false" ht="15" hidden="false" customHeight="false" outlineLevel="0" collapsed="false">
      <c r="A31" s="2" t="s">
        <v>157</v>
      </c>
      <c r="B31" s="5" t="s">
        <v>158</v>
      </c>
      <c r="C31" s="23" t="n">
        <v>3.6</v>
      </c>
      <c r="D31" s="5" t="s">
        <v>52</v>
      </c>
      <c r="E31" s="25" t="s">
        <v>39</v>
      </c>
      <c r="F31" s="4" t="s">
        <v>159</v>
      </c>
    </row>
    <row r="32" customFormat="false" ht="15" hidden="false" customHeight="false" outlineLevel="0" collapsed="false">
      <c r="A32" s="2" t="s">
        <v>160</v>
      </c>
      <c r="B32" s="5" t="s">
        <v>161</v>
      </c>
      <c r="C32" s="23" t="n">
        <v>0.9</v>
      </c>
      <c r="D32" s="5" t="s">
        <v>52</v>
      </c>
      <c r="E32" s="25" t="s">
        <v>39</v>
      </c>
      <c r="F32" s="4" t="s">
        <v>162</v>
      </c>
    </row>
    <row r="33" customFormat="false" ht="15" hidden="false" customHeight="false" outlineLevel="0" collapsed="false">
      <c r="A33" s="2" t="s">
        <v>163</v>
      </c>
      <c r="B33" s="5" t="s">
        <v>164</v>
      </c>
      <c r="C33" s="32" t="n">
        <v>0.008</v>
      </c>
      <c r="D33" s="5" t="s">
        <v>165</v>
      </c>
      <c r="E33" s="25" t="s">
        <v>39</v>
      </c>
      <c r="F33" s="4" t="s">
        <v>166</v>
      </c>
    </row>
    <row r="34" customFormat="false" ht="15" hidden="false" customHeight="false" outlineLevel="0" collapsed="false">
      <c r="A34" s="2" t="s">
        <v>167</v>
      </c>
      <c r="B34" s="5" t="s">
        <v>168</v>
      </c>
      <c r="C34" s="32" t="n">
        <v>0.005</v>
      </c>
      <c r="D34" s="5" t="s">
        <v>165</v>
      </c>
      <c r="E34" s="25" t="s">
        <v>39</v>
      </c>
      <c r="F34" s="4" t="s">
        <v>166</v>
      </c>
    </row>
    <row r="35" customFormat="false" ht="15" hidden="false" customHeight="false" outlineLevel="0" collapsed="false">
      <c r="A35" s="2" t="s">
        <v>169</v>
      </c>
      <c r="B35" s="5" t="s">
        <v>170</v>
      </c>
      <c r="C35" s="23" t="n">
        <v>0.25</v>
      </c>
      <c r="D35" s="5" t="s">
        <v>52</v>
      </c>
      <c r="E35" s="25" t="s">
        <v>39</v>
      </c>
      <c r="F35" s="4"/>
    </row>
    <row r="36" customFormat="false" ht="15" hidden="false" customHeight="false" outlineLevel="0" collapsed="false">
      <c r="A36" s="2" t="s">
        <v>171</v>
      </c>
      <c r="B36" s="5" t="s">
        <v>172</v>
      </c>
      <c r="C36" s="23" t="n">
        <v>0.3</v>
      </c>
      <c r="D36" s="5" t="s">
        <v>52</v>
      </c>
      <c r="E36" s="25" t="s">
        <v>39</v>
      </c>
      <c r="F36" s="4" t="s">
        <v>173</v>
      </c>
    </row>
    <row r="37" customFormat="false" ht="15" hidden="false" customHeight="false" outlineLevel="0" collapsed="false">
      <c r="A37" s="2" t="s">
        <v>174</v>
      </c>
      <c r="B37" s="5" t="s">
        <v>175</v>
      </c>
      <c r="C37" s="23" t="n">
        <v>0.15</v>
      </c>
      <c r="D37" s="5" t="s">
        <v>52</v>
      </c>
      <c r="E37" s="25" t="s">
        <v>39</v>
      </c>
      <c r="F37" s="4"/>
    </row>
    <row r="38" customFormat="false" ht="15" hidden="false" customHeight="false" outlineLevel="0" collapsed="false">
      <c r="A38" s="2" t="s">
        <v>176</v>
      </c>
      <c r="B38" s="5" t="s">
        <v>177</v>
      </c>
      <c r="C38" s="31" t="n">
        <v>0.015</v>
      </c>
      <c r="D38" s="5" t="s">
        <v>178</v>
      </c>
      <c r="E38" s="25" t="s">
        <v>39</v>
      </c>
      <c r="F38" s="4"/>
    </row>
    <row r="39" customFormat="false" ht="15" hidden="false" customHeight="false" outlineLevel="0" collapsed="false">
      <c r="A39" s="2" t="s">
        <v>179</v>
      </c>
      <c r="B39" s="5" t="s">
        <v>180</v>
      </c>
      <c r="C39" s="31" t="n">
        <v>0.01</v>
      </c>
      <c r="D39" s="5" t="s">
        <v>178</v>
      </c>
      <c r="E39" s="25" t="s">
        <v>39</v>
      </c>
      <c r="F39" s="4"/>
    </row>
    <row r="41" customFormat="false" ht="15" hidden="false" customHeight="false" outlineLevel="0" collapsed="false">
      <c r="A41" s="20" t="s">
        <v>181</v>
      </c>
      <c r="B41" s="12"/>
      <c r="C41" s="12"/>
      <c r="D41" s="12"/>
      <c r="E41" s="12"/>
      <c r="F41" s="12"/>
    </row>
    <row r="42" customFormat="false" ht="15" hidden="false" customHeight="false" outlineLevel="0" collapsed="false">
      <c r="A42" s="2" t="s">
        <v>182</v>
      </c>
      <c r="B42" s="5" t="s">
        <v>51</v>
      </c>
      <c r="C42" s="29" t="n">
        <v>8.1</v>
      </c>
      <c r="D42" s="5" t="s">
        <v>52</v>
      </c>
      <c r="E42" s="25" t="s">
        <v>39</v>
      </c>
      <c r="F42" s="4" t="s">
        <v>183</v>
      </c>
    </row>
    <row r="43" customFormat="false" ht="15" hidden="false" customHeight="false" outlineLevel="0" collapsed="false">
      <c r="A43" s="2" t="s">
        <v>184</v>
      </c>
      <c r="B43" s="5" t="s">
        <v>185</v>
      </c>
      <c r="C43" s="27" t="n">
        <v>0.03</v>
      </c>
      <c r="D43" s="5" t="s">
        <v>54</v>
      </c>
      <c r="E43" s="25" t="s">
        <v>39</v>
      </c>
      <c r="F43" s="4" t="s">
        <v>186</v>
      </c>
    </row>
    <row r="44" customFormat="false" ht="15" hidden="false" customHeight="false" outlineLevel="0" collapsed="false">
      <c r="A44" s="2" t="s">
        <v>187</v>
      </c>
      <c r="B44" s="5" t="s">
        <v>188</v>
      </c>
      <c r="C44" s="27" t="n">
        <v>0.12</v>
      </c>
      <c r="D44" s="5" t="s">
        <v>54</v>
      </c>
      <c r="E44" s="25" t="s">
        <v>39</v>
      </c>
      <c r="F44" s="4" t="s">
        <v>189</v>
      </c>
    </row>
    <row r="45" customFormat="false" ht="15" hidden="false" customHeight="false" outlineLevel="0" collapsed="false">
      <c r="A45" s="2" t="s">
        <v>190</v>
      </c>
      <c r="B45" s="5" t="s">
        <v>191</v>
      </c>
      <c r="C45" s="31" t="n">
        <v>0.18</v>
      </c>
      <c r="D45" s="5" t="s">
        <v>54</v>
      </c>
      <c r="E45" s="25" t="s">
        <v>39</v>
      </c>
      <c r="F45" s="4"/>
    </row>
    <row r="46" customFormat="false" ht="15" hidden="false" customHeight="false" outlineLevel="0" collapsed="false">
      <c r="A46" s="2" t="s">
        <v>192</v>
      </c>
      <c r="B46" s="5" t="s">
        <v>193</v>
      </c>
      <c r="C46" s="31" t="n">
        <v>0.03</v>
      </c>
      <c r="D46" s="5" t="s">
        <v>54</v>
      </c>
      <c r="E46" s="25" t="s">
        <v>39</v>
      </c>
      <c r="F46" s="4"/>
    </row>
    <row r="47" customFormat="false" ht="15" hidden="false" customHeight="false" outlineLevel="0" collapsed="false">
      <c r="A47" s="2" t="s">
        <v>194</v>
      </c>
      <c r="B47" s="5" t="s">
        <v>195</v>
      </c>
      <c r="C47" s="31" t="n">
        <v>0.06</v>
      </c>
      <c r="D47" s="5" t="s">
        <v>54</v>
      </c>
      <c r="E47" s="25" t="s">
        <v>39</v>
      </c>
      <c r="F47" s="4"/>
    </row>
    <row r="48" customFormat="false" ht="15" hidden="false" customHeight="false" outlineLevel="0" collapsed="false">
      <c r="A48" s="2" t="s">
        <v>196</v>
      </c>
      <c r="B48" s="5" t="s">
        <v>197</v>
      </c>
      <c r="C48" s="31" t="n">
        <v>0.1</v>
      </c>
      <c r="D48" s="5" t="s">
        <v>54</v>
      </c>
      <c r="E48" s="25" t="s">
        <v>39</v>
      </c>
      <c r="F48" s="4" t="s">
        <v>198</v>
      </c>
    </row>
    <row r="49" customFormat="false" ht="15" hidden="false" customHeight="false" outlineLevel="0" collapsed="false">
      <c r="A49" s="2" t="s">
        <v>199</v>
      </c>
      <c r="B49" s="5" t="s">
        <v>200</v>
      </c>
      <c r="C49" s="23" t="n">
        <v>7.6</v>
      </c>
      <c r="D49" s="5" t="s">
        <v>52</v>
      </c>
      <c r="E49" s="22" t="s">
        <v>41</v>
      </c>
      <c r="F49" s="4" t="s">
        <v>201</v>
      </c>
    </row>
    <row r="51" customFormat="false" ht="15" hidden="false" customHeight="false" outlineLevel="0" collapsed="false">
      <c r="A51" s="20" t="s">
        <v>202</v>
      </c>
      <c r="B51" s="12"/>
      <c r="C51" s="12"/>
      <c r="D51" s="12"/>
      <c r="E51" s="12"/>
      <c r="F51" s="12"/>
    </row>
    <row r="52" customFormat="false" ht="15" hidden="false" customHeight="false" outlineLevel="0" collapsed="false">
      <c r="A52" s="2" t="s">
        <v>203</v>
      </c>
      <c r="B52" s="5" t="s">
        <v>204</v>
      </c>
      <c r="C52" s="23" t="n">
        <v>2.5</v>
      </c>
      <c r="D52" s="5" t="s">
        <v>128</v>
      </c>
      <c r="E52" s="25" t="s">
        <v>39</v>
      </c>
      <c r="F52" s="4"/>
    </row>
    <row r="53" customFormat="false" ht="15" hidden="false" customHeight="false" outlineLevel="0" collapsed="false">
      <c r="A53" s="2" t="s">
        <v>205</v>
      </c>
      <c r="B53" s="5" t="s">
        <v>206</v>
      </c>
      <c r="C53" s="31" t="n">
        <v>0.05</v>
      </c>
      <c r="D53" s="5" t="s">
        <v>54</v>
      </c>
      <c r="E53" s="25" t="s">
        <v>39</v>
      </c>
      <c r="F53" s="4"/>
    </row>
    <row r="55" customFormat="false" ht="15" hidden="false" customHeight="false" outlineLevel="0" collapsed="false">
      <c r="A55" s="3" t="s">
        <v>207</v>
      </c>
    </row>
    <row r="56" customFormat="false" ht="15" hidden="false" customHeight="false" outlineLevel="0" collapsed="false">
      <c r="A56" s="2" t="s">
        <v>208</v>
      </c>
    </row>
    <row r="57" customFormat="false" ht="15" hidden="false" customHeight="false" outlineLevel="0" collapsed="false">
      <c r="A57" s="2" t="s">
        <v>209</v>
      </c>
    </row>
    <row r="58" customFormat="false" ht="15" hidden="false" customHeight="false" outlineLevel="0" collapsed="false">
      <c r="A58" s="2" t="s">
        <v>210</v>
      </c>
    </row>
    <row r="59" customFormat="false" ht="15" hidden="false" customHeight="false" outlineLevel="0" collapsed="false">
      <c r="A59" s="2" t="s">
        <v>211</v>
      </c>
    </row>
    <row r="60" customFormat="false" ht="15" hidden="false" customHeight="false" outlineLevel="0" collapsed="false">
      <c r="A60" s="2" t="s">
        <v>212</v>
      </c>
    </row>
    <row r="61" customFormat="false" ht="15" hidden="false" customHeight="false" outlineLevel="0" collapsed="false">
      <c r="A61" s="2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  <col collapsed="false" customWidth="true" hidden="false" outlineLevel="0" max="5" min="5" style="0" width="13"/>
  </cols>
  <sheetData>
    <row r="1" customFormat="false" ht="17.35" hidden="false" customHeight="false" outlineLevel="0" collapsed="false">
      <c r="A1" s="1" t="s">
        <v>214</v>
      </c>
    </row>
    <row r="2" customFormat="false" ht="15" hidden="false" customHeight="false" outlineLevel="0" collapsed="false">
      <c r="A2" s="2" t="s">
        <v>215</v>
      </c>
    </row>
    <row r="4" customFormat="false" ht="39.55" hidden="false" customHeight="false" outlineLevel="0" collapsed="false">
      <c r="A4" s="10" t="s">
        <v>216</v>
      </c>
      <c r="B4" s="10" t="s">
        <v>217</v>
      </c>
      <c r="C4" s="10" t="s">
        <v>218</v>
      </c>
      <c r="D4" s="10" t="s">
        <v>219</v>
      </c>
      <c r="E4" s="10" t="s">
        <v>220</v>
      </c>
    </row>
    <row r="5" customFormat="false" ht="15" hidden="false" customHeight="false" outlineLevel="0" collapsed="false">
      <c r="A5" s="5" t="s">
        <v>221</v>
      </c>
      <c r="B5" s="33" t="n">
        <v>160.08</v>
      </c>
      <c r="C5" s="33" t="n">
        <v>166.3</v>
      </c>
      <c r="D5" s="34" t="n">
        <f aca="false">B5+(C5-B5)*Assumptions!$C$14</f>
        <v>164.434</v>
      </c>
      <c r="E5" s="35" t="n">
        <f aca="false">IFERROR(D5/B5-1,0)</f>
        <v>0.0271989005497253</v>
      </c>
    </row>
    <row r="6" customFormat="false" ht="15" hidden="false" customHeight="false" outlineLevel="0" collapsed="false">
      <c r="A6" s="5" t="s">
        <v>222</v>
      </c>
      <c r="B6" s="33" t="n">
        <v>150.92</v>
      </c>
      <c r="C6" s="33" t="n">
        <v>172.36</v>
      </c>
      <c r="D6" s="34" t="n">
        <f aca="false">B6+(C6-B6)*Assumptions!$C$14</f>
        <v>165.928</v>
      </c>
      <c r="E6" s="35" t="n">
        <f aca="false">IFERROR(D6/B6-1,0)</f>
        <v>0.099443413729128</v>
      </c>
    </row>
    <row r="7" customFormat="false" ht="15" hidden="false" customHeight="false" outlineLevel="0" collapsed="false">
      <c r="A7" s="5" t="s">
        <v>223</v>
      </c>
      <c r="B7" s="33" t="n">
        <v>164.47</v>
      </c>
      <c r="C7" s="33" t="n">
        <v>205.78</v>
      </c>
      <c r="D7" s="34" t="n">
        <f aca="false">B7+(C7-B7)*Assumptions!$C$14</f>
        <v>193.387</v>
      </c>
      <c r="E7" s="35" t="n">
        <f aca="false">IFERROR(D7/B7-1,0)</f>
        <v>0.175819298352283</v>
      </c>
    </row>
    <row r="8" customFormat="false" ht="15" hidden="false" customHeight="false" outlineLevel="0" collapsed="false">
      <c r="A8" s="5" t="s">
        <v>224</v>
      </c>
      <c r="B8" s="33" t="n">
        <v>155.5</v>
      </c>
      <c r="C8" s="33" t="n">
        <v>215.76</v>
      </c>
      <c r="D8" s="34" t="n">
        <f aca="false">B8+(C8-B8)*Assumptions!$C$14</f>
        <v>197.682</v>
      </c>
      <c r="E8" s="35" t="n">
        <f aca="false">IFERROR(D8/B8-1,0)</f>
        <v>0.271266881028939</v>
      </c>
    </row>
    <row r="9" customFormat="false" ht="15" hidden="false" customHeight="false" outlineLevel="0" collapsed="false">
      <c r="A9" s="5" t="s">
        <v>225</v>
      </c>
      <c r="B9" s="33" t="n">
        <v>150.07</v>
      </c>
      <c r="C9" s="33" t="n">
        <v>226.17</v>
      </c>
      <c r="D9" s="34" t="n">
        <f aca="false">B9+(C9-B9)*Assumptions!$C$14</f>
        <v>203.34</v>
      </c>
      <c r="E9" s="35" t="n">
        <f aca="false">IFERROR(D9/B9-1,0)</f>
        <v>0.354967681748517</v>
      </c>
    </row>
    <row r="10" customFormat="false" ht="15" hidden="false" customHeight="false" outlineLevel="0" collapsed="false">
      <c r="A10" s="5" t="s">
        <v>226</v>
      </c>
      <c r="B10" s="33" t="n">
        <v>132.36</v>
      </c>
      <c r="C10" s="33" t="n">
        <v>198.64</v>
      </c>
      <c r="D10" s="34" t="n">
        <f aca="false">B10+(C10-B10)*Assumptions!$C$14</f>
        <v>178.756</v>
      </c>
      <c r="E10" s="35" t="n">
        <f aca="false">IFERROR(D10/B10-1,0)</f>
        <v>0.350528860682986</v>
      </c>
    </row>
    <row r="11" customFormat="false" ht="15" hidden="false" customHeight="false" outlineLevel="0" collapsed="false">
      <c r="A11" s="5" t="s">
        <v>227</v>
      </c>
      <c r="B11" s="33" t="n">
        <v>120.53</v>
      </c>
      <c r="C11" s="33" t="n">
        <v>168.1</v>
      </c>
      <c r="D11" s="34" t="n">
        <f aca="false">B11+(C11-B11)*Assumptions!$C$14</f>
        <v>153.829</v>
      </c>
      <c r="E11" s="35" t="n">
        <f aca="false">IFERROR(D11/B11-1,0)</f>
        <v>0.276271467684394</v>
      </c>
    </row>
    <row r="12" customFormat="false" ht="15" hidden="false" customHeight="false" outlineLevel="0" collapsed="false">
      <c r="A12" s="5" t="s">
        <v>228</v>
      </c>
      <c r="B12" s="33" t="n">
        <v>119.66</v>
      </c>
      <c r="C12" s="33" t="n">
        <v>155.82</v>
      </c>
      <c r="D12" s="34" t="n">
        <f aca="false">B12+(C12-B12)*Assumptions!$C$14</f>
        <v>144.972</v>
      </c>
      <c r="E12" s="35" t="n">
        <f aca="false">IFERROR(D12/B12-1,0)</f>
        <v>0.211532675915093</v>
      </c>
    </row>
    <row r="13" customFormat="false" ht="15" hidden="false" customHeight="false" outlineLevel="0" collapsed="false">
      <c r="A13" s="5" t="s">
        <v>229</v>
      </c>
      <c r="B13" s="33" t="n">
        <v>133.21</v>
      </c>
      <c r="C13" s="33" t="n">
        <v>167.78</v>
      </c>
      <c r="D13" s="34" t="n">
        <f aca="false">B13+(C13-B13)*Assumptions!$C$14</f>
        <v>157.409</v>
      </c>
      <c r="E13" s="35" t="n">
        <f aca="false">IFERROR(D13/B13-1,0)</f>
        <v>0.181660535995796</v>
      </c>
    </row>
    <row r="14" customFormat="false" ht="15" hidden="false" customHeight="false" outlineLevel="0" collapsed="false">
      <c r="A14" s="5" t="s">
        <v>230</v>
      </c>
      <c r="B14" s="33" t="n">
        <v>155.36</v>
      </c>
      <c r="C14" s="33" t="n">
        <v>181.77</v>
      </c>
      <c r="D14" s="34" t="n">
        <f aca="false">B14+(C14-B14)*Assumptions!$C$14</f>
        <v>173.847</v>
      </c>
      <c r="E14" s="35" t="n">
        <f aca="false">IFERROR(D14/B14-1,0)</f>
        <v>0.118994593202884</v>
      </c>
    </row>
    <row r="15" customFormat="false" ht="15" hidden="false" customHeight="false" outlineLevel="0" collapsed="false">
      <c r="A15" s="5" t="s">
        <v>231</v>
      </c>
      <c r="B15" s="33" t="n">
        <v>148.4</v>
      </c>
      <c r="C15" s="33" t="n">
        <v>155.39</v>
      </c>
      <c r="D15" s="34" t="n">
        <f aca="false">B15+(C15-B15)*Assumptions!$C$14</f>
        <v>153.293</v>
      </c>
      <c r="E15" s="35" t="n">
        <f aca="false">IFERROR(D15/B15-1,0)</f>
        <v>0.0329716981132076</v>
      </c>
    </row>
    <row r="16" customFormat="false" ht="15" hidden="false" customHeight="false" outlineLevel="0" collapsed="false">
      <c r="A16" s="5" t="s">
        <v>232</v>
      </c>
      <c r="B16" s="33" t="n">
        <v>156.59</v>
      </c>
      <c r="C16" s="33" t="n">
        <v>157.47</v>
      </c>
      <c r="D16" s="34" t="n">
        <f aca="false">B16+(C16-B16)*Assumptions!$C$14</f>
        <v>157.206</v>
      </c>
      <c r="E16" s="35" t="n">
        <f aca="false">IFERROR(D16/B16-1,0)</f>
        <v>0.00393383996423768</v>
      </c>
    </row>
    <row r="17" customFormat="false" ht="15" hidden="false" customHeight="false" outlineLevel="0" collapsed="false">
      <c r="A17" s="36" t="s">
        <v>233</v>
      </c>
      <c r="B17" s="37" t="n">
        <f aca="false">SUM(B5:B16)</f>
        <v>1747.15</v>
      </c>
      <c r="C17" s="37" t="n">
        <f aca="false">SUM(C5:C16)</f>
        <v>2171.34</v>
      </c>
      <c r="D17" s="37" t="n">
        <f aca="false">SUM(D5:D16)</f>
        <v>2044.083</v>
      </c>
      <c r="E17" s="38" t="n">
        <f aca="false">IFERROR(D17/B17-1,0)</f>
        <v>0.169952780242108</v>
      </c>
    </row>
    <row r="19" customFormat="false" ht="15" hidden="false" customHeight="false" outlineLevel="0" collapsed="false">
      <c r="A19" s="36" t="s">
        <v>234</v>
      </c>
      <c r="B19" s="39" t="n">
        <f aca="false">B17-Assumptions!$C$12</f>
        <v>0.00999999999999091</v>
      </c>
      <c r="C19" s="39" t="n">
        <f aca="false">C17-Assumptions!$C$13</f>
        <v>-0.00999999999976353</v>
      </c>
    </row>
    <row r="21" customFormat="false" ht="15" hidden="false" customHeight="false" outlineLevel="0" collapsed="false">
      <c r="A21" s="36" t="s">
        <v>235</v>
      </c>
    </row>
    <row r="22" customFormat="false" ht="15" hidden="false" customHeight="false" outlineLevel="0" collapsed="false">
      <c r="A22" s="13" t="s">
        <v>236</v>
      </c>
      <c r="B22" s="40" t="n">
        <f aca="false">Assumptions!$C$13/Assumptions!$C$12-1</f>
        <v>0.242802522980414</v>
      </c>
    </row>
    <row r="23" customFormat="false" ht="15" hidden="false" customHeight="false" outlineLevel="0" collapsed="false">
      <c r="A23" s="13" t="s">
        <v>70</v>
      </c>
      <c r="B23" s="40" t="n">
        <f aca="false">Assumptions!$C$14*(Assumptions!$C$13/Assumptions!$C$12-1)</f>
        <v>0.16996176608629</v>
      </c>
    </row>
    <row r="24" customFormat="false" ht="15" hidden="false" customHeight="false" outlineLevel="0" collapsed="false">
      <c r="A24" s="13" t="s">
        <v>237</v>
      </c>
      <c r="B24" s="41" t="n">
        <f aca="false">Assumptions!$C$12*Assumptions!$C$6/1000</f>
        <v>174.714</v>
      </c>
    </row>
    <row r="25" customFormat="false" ht="15" hidden="false" customHeight="false" outlineLevel="0" collapsed="false">
      <c r="A25" s="13" t="s">
        <v>238</v>
      </c>
      <c r="B25" s="41" t="n">
        <f aca="false">(Assumptions!$C$12+(Assumptions!$C$13-Assumptions!$C$12)*Assumptions!$C$14)*Assumptions!$C$6/1000</f>
        <v>204.4087</v>
      </c>
    </row>
    <row r="26" customFormat="false" ht="15" hidden="false" customHeight="false" outlineLevel="0" collapsed="false">
      <c r="A26" s="13" t="s">
        <v>239</v>
      </c>
      <c r="B26" s="41" t="n">
        <f aca="false">B25-B24</f>
        <v>29.6947</v>
      </c>
    </row>
    <row r="27" customFormat="false" ht="15" hidden="false" customHeight="false" outlineLevel="0" collapsed="false">
      <c r="A27" s="13" t="s">
        <v>240</v>
      </c>
      <c r="B27" s="40" t="n">
        <f aca="false">Assumptions!$C$12/8760</f>
        <v>0.199445205479452</v>
      </c>
    </row>
    <row r="28" customFormat="false" ht="15" hidden="false" customHeight="false" outlineLevel="0" collapsed="false">
      <c r="A28" s="13" t="s">
        <v>241</v>
      </c>
      <c r="B28" s="40" t="n">
        <f aca="false">B25*1000/Assumptions!$C$6/8760</f>
        <v>0.233343264840183</v>
      </c>
    </row>
    <row r="30" customFormat="false" ht="15" hidden="false" customHeight="false" outlineLevel="0" collapsed="false">
      <c r="A30" s="2" t="s">
        <v>242</v>
      </c>
    </row>
    <row r="31" customFormat="false" ht="15" hidden="false" customHeight="false" outlineLevel="0" collapsed="false">
      <c r="A31" s="2" t="s">
        <v>243</v>
      </c>
    </row>
    <row r="32" customFormat="false" ht="15" hidden="false" customHeight="false" outlineLevel="0" collapsed="false">
      <c r="A32" s="2" t="s">
        <v>244</v>
      </c>
    </row>
    <row r="33" customFormat="false" ht="15" hidden="false" customHeight="false" outlineLevel="0" collapsed="false">
      <c r="A33" s="2" t="s">
        <v>245</v>
      </c>
    </row>
    <row r="34" customFormat="false" ht="15" hidden="false" customHeight="false" outlineLevel="0" collapsed="false">
      <c r="A34" s="2" t="s">
        <v>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F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48"/>
  </cols>
  <sheetData>
    <row r="1" customFormat="false" ht="17.35" hidden="false" customHeight="false" outlineLevel="0" collapsed="false">
      <c r="A1" s="1" t="s">
        <v>247</v>
      </c>
    </row>
    <row r="2" customFormat="false" ht="15" hidden="false" customHeight="false" outlineLevel="0" collapsed="false">
      <c r="A2" s="2" t="s">
        <v>248</v>
      </c>
    </row>
    <row r="4" customFormat="false" ht="15" hidden="false" customHeight="false" outlineLevel="0" collapsed="false">
      <c r="A4" s="36" t="s">
        <v>249</v>
      </c>
      <c r="B4" s="42" t="n">
        <f aca="false">Assumptions!$C$6</f>
        <v>100</v>
      </c>
    </row>
    <row r="5" customFormat="false" ht="15" hidden="false" customHeight="false" outlineLevel="0" collapsed="false">
      <c r="A5" s="36" t="s">
        <v>250</v>
      </c>
      <c r="B5" s="43" t="n">
        <f aca="false">Assumptions!$C$19</f>
        <v>94.95</v>
      </c>
    </row>
    <row r="7" customFormat="false" ht="26.85" hidden="false" customHeight="false" outlineLevel="0" collapsed="false">
      <c r="A7" s="10" t="s">
        <v>251</v>
      </c>
      <c r="B7" s="10" t="s">
        <v>252</v>
      </c>
      <c r="C7" s="10" t="s">
        <v>253</v>
      </c>
      <c r="D7" s="10" t="s">
        <v>52</v>
      </c>
      <c r="E7" s="10" t="s">
        <v>254</v>
      </c>
      <c r="F7" s="10" t="s">
        <v>255</v>
      </c>
    </row>
    <row r="8" customFormat="false" ht="15" hidden="false" customHeight="false" outlineLevel="0" collapsed="false">
      <c r="A8" s="13" t="s">
        <v>158</v>
      </c>
      <c r="B8" s="13" t="s">
        <v>256</v>
      </c>
      <c r="C8" s="43" t="n">
        <f aca="false">Assumptions!$C$31</f>
        <v>3.6</v>
      </c>
      <c r="D8" s="39" t="n">
        <f aca="false">C8</f>
        <v>3.6</v>
      </c>
      <c r="E8" s="39" t="n">
        <f aca="false">D8*$B$4/10</f>
        <v>36</v>
      </c>
      <c r="F8" s="13" t="s">
        <v>257</v>
      </c>
    </row>
    <row r="9" customFormat="false" ht="15" hidden="false" customHeight="false" outlineLevel="0" collapsed="false">
      <c r="A9" s="13" t="s">
        <v>161</v>
      </c>
      <c r="B9" s="13" t="s">
        <v>256</v>
      </c>
      <c r="C9" s="43" t="n">
        <f aca="false">Assumptions!$C$32</f>
        <v>0.9</v>
      </c>
      <c r="D9" s="39" t="n">
        <f aca="false">C9</f>
        <v>0.9</v>
      </c>
      <c r="E9" s="39" t="n">
        <f aca="false">D9*$B$4/10</f>
        <v>9</v>
      </c>
      <c r="F9" s="13" t="s">
        <v>257</v>
      </c>
    </row>
    <row r="10" customFormat="false" ht="15" hidden="false" customHeight="false" outlineLevel="0" collapsed="false">
      <c r="A10" s="13" t="s">
        <v>258</v>
      </c>
      <c r="B10" s="13" t="s">
        <v>259</v>
      </c>
      <c r="C10" s="44" t="n">
        <f aca="false">Assumptions!$C$33</f>
        <v>0.008</v>
      </c>
      <c r="D10" s="39" t="n">
        <f aca="false">C10*$B$5</f>
        <v>0.7596</v>
      </c>
      <c r="E10" s="39" t="n">
        <f aca="false">D10*$B$4/10</f>
        <v>7.596</v>
      </c>
      <c r="F10" s="13" t="s">
        <v>260</v>
      </c>
    </row>
    <row r="11" customFormat="false" ht="15" hidden="false" customHeight="false" outlineLevel="0" collapsed="false">
      <c r="A11" s="13" t="s">
        <v>261</v>
      </c>
      <c r="B11" s="13" t="s">
        <v>259</v>
      </c>
      <c r="C11" s="44" t="n">
        <f aca="false">Assumptions!$C$34</f>
        <v>0.005</v>
      </c>
      <c r="D11" s="39" t="n">
        <f aca="false">C11*$B$5</f>
        <v>0.47475</v>
      </c>
      <c r="E11" s="39" t="n">
        <f aca="false">D11*$B$4/10</f>
        <v>4.7475</v>
      </c>
      <c r="F11" s="13" t="s">
        <v>260</v>
      </c>
    </row>
    <row r="12" customFormat="false" ht="15" hidden="false" customHeight="false" outlineLevel="0" collapsed="false">
      <c r="A12" s="13" t="s">
        <v>170</v>
      </c>
      <c r="B12" s="13" t="s">
        <v>256</v>
      </c>
      <c r="C12" s="43" t="n">
        <f aca="false">Assumptions!$C$35</f>
        <v>0.25</v>
      </c>
      <c r="D12" s="39" t="n">
        <f aca="false">C12</f>
        <v>0.25</v>
      </c>
      <c r="E12" s="39" t="n">
        <f aca="false">D12*$B$4/10</f>
        <v>2.5</v>
      </c>
      <c r="F12" s="13" t="s">
        <v>262</v>
      </c>
    </row>
    <row r="13" customFormat="false" ht="15" hidden="false" customHeight="false" outlineLevel="0" collapsed="false">
      <c r="A13" s="13" t="s">
        <v>263</v>
      </c>
      <c r="B13" s="13" t="s">
        <v>256</v>
      </c>
      <c r="C13" s="43" t="n">
        <f aca="false">Assumptions!$C$36</f>
        <v>0.3</v>
      </c>
      <c r="D13" s="39" t="n">
        <f aca="false">C13</f>
        <v>0.3</v>
      </c>
      <c r="E13" s="39" t="n">
        <f aca="false">D13*$B$4/10</f>
        <v>3</v>
      </c>
      <c r="F13" s="13" t="s">
        <v>262</v>
      </c>
    </row>
    <row r="14" customFormat="false" ht="15" hidden="false" customHeight="false" outlineLevel="0" collapsed="false">
      <c r="A14" s="13" t="s">
        <v>175</v>
      </c>
      <c r="B14" s="13" t="s">
        <v>256</v>
      </c>
      <c r="C14" s="43" t="n">
        <f aca="false">Assumptions!$C$37</f>
        <v>0.15</v>
      </c>
      <c r="D14" s="39" t="n">
        <f aca="false">C14</f>
        <v>0.15</v>
      </c>
      <c r="E14" s="39" t="n">
        <f aca="false">D14*$B$4/10</f>
        <v>1.5</v>
      </c>
      <c r="F14" s="13" t="s">
        <v>262</v>
      </c>
    </row>
    <row r="15" customFormat="false" ht="15" hidden="false" customHeight="false" outlineLevel="0" collapsed="false">
      <c r="A15" s="36" t="s">
        <v>264</v>
      </c>
      <c r="D15" s="37" t="n">
        <f aca="false">SUM(D8:D14)</f>
        <v>6.43435</v>
      </c>
      <c r="E15" s="37" t="n">
        <f aca="false">SUM(E8:E14)</f>
        <v>64.3435</v>
      </c>
    </row>
    <row r="16" customFormat="false" ht="15" hidden="false" customHeight="false" outlineLevel="0" collapsed="false">
      <c r="A16" s="13" t="s">
        <v>265</v>
      </c>
      <c r="D16" s="39" t="n">
        <f aca="false">SUMIFS(D8:D14,B8:B14,"USD")</f>
        <v>1.23435</v>
      </c>
    </row>
    <row r="17" customFormat="false" ht="15" hidden="false" customHeight="false" outlineLevel="0" collapsed="false">
      <c r="A17" s="13" t="s">
        <v>266</v>
      </c>
      <c r="D17" s="39" t="n">
        <f aca="false">SUMIFS(D8:D14,F8:F14,"Steel")</f>
        <v>4.5</v>
      </c>
    </row>
    <row r="19" customFormat="false" ht="15" hidden="false" customHeight="false" outlineLevel="0" collapsed="false">
      <c r="A19" s="10" t="s">
        <v>267</v>
      </c>
      <c r="B19" s="10"/>
      <c r="C19" s="10"/>
      <c r="D19" s="10" t="s">
        <v>52</v>
      </c>
      <c r="E19" s="10" t="s">
        <v>254</v>
      </c>
      <c r="F19" s="10" t="s">
        <v>268</v>
      </c>
    </row>
    <row r="20" customFormat="false" ht="15" hidden="false" customHeight="false" outlineLevel="0" collapsed="false">
      <c r="A20" s="13" t="s">
        <v>51</v>
      </c>
      <c r="D20" s="43" t="n">
        <f aca="false">Assumptions!$C$42</f>
        <v>8.1</v>
      </c>
      <c r="E20" s="39" t="n">
        <f aca="false">D20*$B$4/10</f>
        <v>81</v>
      </c>
      <c r="F20" s="13" t="s">
        <v>269</v>
      </c>
    </row>
    <row r="21" customFormat="false" ht="15" hidden="false" customHeight="false" outlineLevel="0" collapsed="false">
      <c r="A21" s="13" t="s">
        <v>270</v>
      </c>
      <c r="D21" s="45" t="n">
        <f aca="false">Assumptions!$C$43</f>
        <v>0.03</v>
      </c>
      <c r="F21" s="13" t="s">
        <v>271</v>
      </c>
    </row>
    <row r="22" customFormat="false" ht="15" hidden="false" customHeight="false" outlineLevel="0" collapsed="false">
      <c r="A22" s="36" t="s">
        <v>272</v>
      </c>
      <c r="D22" s="46" t="n">
        <f aca="false">D20*(1-D21)</f>
        <v>7.857</v>
      </c>
      <c r="E22" s="39" t="n">
        <f aca="false">D22*$B$4/10</f>
        <v>78.57</v>
      </c>
      <c r="F22" s="13" t="s">
        <v>273</v>
      </c>
    </row>
    <row r="23" customFormat="false" ht="15" hidden="false" customHeight="false" outlineLevel="0" collapsed="false">
      <c r="A23" s="13" t="s">
        <v>274</v>
      </c>
      <c r="D23" s="39" t="n">
        <f aca="false">D15</f>
        <v>6.43435</v>
      </c>
      <c r="E23" s="39" t="n">
        <f aca="false">D23*$B$4/10</f>
        <v>64.3435</v>
      </c>
      <c r="F23" s="13"/>
    </row>
    <row r="24" customFormat="false" ht="15" hidden="false" customHeight="false" outlineLevel="0" collapsed="false">
      <c r="A24" s="13" t="s">
        <v>275</v>
      </c>
      <c r="D24" s="39" t="n">
        <f aca="false">D22*Assumptions!$C$38</f>
        <v>0.117855</v>
      </c>
      <c r="E24" s="39" t="n">
        <f aca="false">D24*$B$4/10</f>
        <v>1.17855</v>
      </c>
      <c r="F24" s="13" t="s">
        <v>178</v>
      </c>
    </row>
    <row r="25" customFormat="false" ht="15" hidden="false" customHeight="false" outlineLevel="0" collapsed="false">
      <c r="A25" s="13" t="s">
        <v>276</v>
      </c>
      <c r="D25" s="39" t="n">
        <f aca="false">D22*Assumptions!$C$39</f>
        <v>0.07857</v>
      </c>
      <c r="E25" s="39" t="n">
        <f aca="false">D25*$B$4/10</f>
        <v>0.7857</v>
      </c>
      <c r="F25" s="13" t="s">
        <v>178</v>
      </c>
    </row>
    <row r="26" customFormat="false" ht="15" hidden="false" customHeight="false" outlineLevel="0" collapsed="false">
      <c r="A26" s="36" t="s">
        <v>60</v>
      </c>
      <c r="D26" s="46" t="n">
        <f aca="false">D22-D23-D24-D25</f>
        <v>1.226225</v>
      </c>
      <c r="E26" s="39" t="n">
        <f aca="false">D26*$B$4/10</f>
        <v>12.26225</v>
      </c>
      <c r="F26" s="13"/>
    </row>
    <row r="27" customFormat="false" ht="15" hidden="false" customHeight="false" outlineLevel="0" collapsed="false">
      <c r="A27" s="36" t="s">
        <v>61</v>
      </c>
      <c r="D27" s="47" t="n">
        <f aca="false">IFERROR(D26/D22,0)</f>
        <v>0.156067837597047</v>
      </c>
      <c r="F27" s="13"/>
    </row>
    <row r="29" customFormat="false" ht="15" hidden="false" customHeight="false" outlineLevel="0" collapsed="false">
      <c r="A29" s="10" t="s">
        <v>277</v>
      </c>
      <c r="B29" s="10"/>
      <c r="C29" s="10"/>
      <c r="D29" s="10" t="s">
        <v>46</v>
      </c>
      <c r="E29" s="10"/>
      <c r="F29" s="10" t="s">
        <v>278</v>
      </c>
    </row>
    <row r="30" customFormat="false" ht="15" hidden="false" customHeight="false" outlineLevel="0" collapsed="false">
      <c r="A30" s="13" t="s">
        <v>279</v>
      </c>
      <c r="D30" s="45" t="n">
        <f aca="false">Assumptions!$C$44</f>
        <v>0.12</v>
      </c>
    </row>
    <row r="31" customFormat="false" ht="15" hidden="false" customHeight="false" outlineLevel="0" collapsed="false">
      <c r="A31" s="13" t="s">
        <v>280</v>
      </c>
      <c r="D31" s="45" t="n">
        <f aca="false">Assumptions!$C$45</f>
        <v>0.18</v>
      </c>
    </row>
    <row r="32" customFormat="false" ht="15" hidden="false" customHeight="false" outlineLevel="0" collapsed="false">
      <c r="A32" s="36" t="s">
        <v>281</v>
      </c>
      <c r="D32" s="46" t="n">
        <f aca="false">D15/(1-D30-Assumptions!$C$38-Assumptions!$C$39)</f>
        <v>7.52555555555556</v>
      </c>
      <c r="F32" s="13" t="s">
        <v>282</v>
      </c>
    </row>
    <row r="33" customFormat="false" ht="15" hidden="false" customHeight="false" outlineLevel="0" collapsed="false">
      <c r="A33" s="13" t="s">
        <v>283</v>
      </c>
      <c r="D33" s="39" t="n">
        <f aca="false">D15/(1-D31-Assumptions!$C$38-Assumptions!$C$39)</f>
        <v>8.09352201257862</v>
      </c>
    </row>
    <row r="34" customFormat="false" ht="15" hidden="false" customHeight="false" outlineLevel="0" collapsed="false">
      <c r="A34" s="13" t="s">
        <v>284</v>
      </c>
      <c r="D34" s="40" t="n">
        <f aca="false">MAX(0,1-D32/D20)</f>
        <v>0.0709190672153635</v>
      </c>
    </row>
    <row r="35" customFormat="false" ht="15" hidden="false" customHeight="false" outlineLevel="0" collapsed="false">
      <c r="A35" s="36" t="s">
        <v>64</v>
      </c>
      <c r="D35" s="48" t="str">
        <f aca="false">IF(D27&lt;D30,"BELOW FLOOR - do not sign",IF(D27&lt;D31,"OK - below target","OK - at/above target"))</f>
        <v>OK - below target</v>
      </c>
    </row>
    <row r="36" customFormat="false" ht="15" hidden="false" customHeight="false" outlineLevel="0" collapsed="false">
      <c r="A36" s="36" t="s">
        <v>65</v>
      </c>
      <c r="D36" s="48" t="str">
        <f aca="false">IF(D27&lt;D30,"CFO + deal review",IF(D21&lt;=Assumptions!$C$46,"Sales Manager",IF(D21&lt;=Assumptions!$C$47,"Sales Director",IF(D21&lt;=Assumptions!$C$48,"VP Sales","CFO"))))</f>
        <v>Sales Manager</v>
      </c>
      <c r="F36" s="13" t="s">
        <v>285</v>
      </c>
    </row>
    <row r="38" customFormat="false" ht="15" hidden="false" customHeight="false" outlineLevel="0" collapsed="false">
      <c r="A38" s="13" t="s">
        <v>200</v>
      </c>
      <c r="D38" s="43" t="n">
        <f aca="false">Assumptions!$C$49</f>
        <v>7.6</v>
      </c>
    </row>
    <row r="39" customFormat="false" ht="15" hidden="false" customHeight="false" outlineLevel="0" collapsed="false">
      <c r="A39" s="13" t="s">
        <v>286</v>
      </c>
      <c r="D39" s="39" t="n">
        <f aca="false">D22-D38</f>
        <v>0.257</v>
      </c>
    </row>
    <row r="40" customFormat="false" ht="15" hidden="false" customHeight="false" outlineLevel="0" collapsed="false">
      <c r="A40" s="13" t="s">
        <v>287</v>
      </c>
      <c r="D40" s="49" t="n">
        <f aca="false">IFERROR(D22/D38-1,0)</f>
        <v>0.0338157894736841</v>
      </c>
    </row>
    <row r="41" customFormat="false" ht="15" hidden="false" customHeight="false" outlineLevel="0" collapsed="false">
      <c r="A41" s="13" t="s">
        <v>288</v>
      </c>
      <c r="D41" s="40" t="n">
        <f aca="false">IFERROR((D38*(1-Assumptions!$C$38-Assumptions!$C$39)-D15)/D38,0)</f>
        <v>0.128375</v>
      </c>
    </row>
    <row r="42" customFormat="false" ht="15" hidden="false" customHeight="false" outlineLevel="0" collapsed="false">
      <c r="A42" s="13" t="s">
        <v>289</v>
      </c>
      <c r="D42" s="48" t="str">
        <f aca="false">IF(D41&gt;=D30,"Yes","No - sell value, not price")</f>
        <v>Yes</v>
      </c>
    </row>
  </sheetData>
  <conditionalFormatting sqref="D35">
    <cfRule type="expression" priority="2" aboveAverage="0" equalAverage="0" bottom="0" percent="0" rank="0" text="" dxfId="0">
      <formula>LEFT($D$35,5)="BELOW"</formula>
    </cfRule>
  </conditionalFormatting>
  <conditionalFormatting sqref="D27">
    <cfRule type="cellIs" priority="3" operator="lessThan" aboveAverage="0" equalAverage="0" bottom="0" percent="0" rank="0" text="" dxfId="0">
      <formula>$D$30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10" min="3" style="0" width="11"/>
  </cols>
  <sheetData>
    <row r="1" customFormat="false" ht="17.35" hidden="false" customHeight="false" outlineLevel="0" collapsed="false">
      <c r="A1" s="1" t="s">
        <v>290</v>
      </c>
    </row>
    <row r="2" customFormat="false" ht="15" hidden="false" customHeight="false" outlineLevel="0" collapsed="false">
      <c r="A2" s="2" t="s">
        <v>291</v>
      </c>
    </row>
    <row r="4" customFormat="false" ht="15" hidden="false" customHeight="false" outlineLevel="0" collapsed="false">
      <c r="A4" s="13" t="s">
        <v>292</v>
      </c>
      <c r="B4" s="43" t="n">
        <f aca="false">Quote_Calculator!$D$22</f>
        <v>7.857</v>
      </c>
    </row>
    <row r="5" customFormat="false" ht="15" hidden="false" customHeight="false" outlineLevel="0" collapsed="false">
      <c r="A5" s="13" t="s">
        <v>293</v>
      </c>
      <c r="B5" s="43" t="n">
        <f aca="false">Quote_Calculator!$D$15-Quote_Calculator!$D$16-Quote_Calculator!$D$17</f>
        <v>0.7</v>
      </c>
    </row>
    <row r="6" customFormat="false" ht="15" hidden="false" customHeight="false" outlineLevel="0" collapsed="false">
      <c r="A6" s="13" t="s">
        <v>294</v>
      </c>
      <c r="B6" s="43" t="n">
        <f aca="false">Quote_Calculator!$D$17</f>
        <v>4.5</v>
      </c>
    </row>
    <row r="7" customFormat="false" ht="15" hidden="false" customHeight="false" outlineLevel="0" collapsed="false">
      <c r="A7" s="13" t="s">
        <v>295</v>
      </c>
      <c r="B7" s="44" t="n">
        <f aca="false">Assumptions!$C$33+Assumptions!$C$34</f>
        <v>0.013</v>
      </c>
    </row>
    <row r="8" customFormat="false" ht="15" hidden="false" customHeight="false" outlineLevel="0" collapsed="false">
      <c r="A8" s="13" t="s">
        <v>296</v>
      </c>
      <c r="B8" s="45" t="n">
        <f aca="false">Assumptions!$C$38+Assumptions!$C$39</f>
        <v>0.025</v>
      </c>
    </row>
    <row r="9" customFormat="false" ht="15" hidden="false" customHeight="false" outlineLevel="0" collapsed="false">
      <c r="A9" s="13" t="s">
        <v>279</v>
      </c>
      <c r="B9" s="45" t="n">
        <f aca="false">Assumptions!$C$44</f>
        <v>0.12</v>
      </c>
    </row>
    <row r="11" customFormat="false" ht="15" hidden="false" customHeight="false" outlineLevel="0" collapsed="false">
      <c r="A11" s="36" t="s">
        <v>297</v>
      </c>
    </row>
    <row r="12" customFormat="false" ht="15" hidden="false" customHeight="false" outlineLevel="0" collapsed="false">
      <c r="B12" s="36" t="s">
        <v>298</v>
      </c>
      <c r="C12" s="50" t="n">
        <f aca="false">-3*Assumptions!$C$53</f>
        <v>-0.15</v>
      </c>
      <c r="D12" s="50" t="n">
        <f aca="false">-2*Assumptions!$C$53</f>
        <v>-0.1</v>
      </c>
      <c r="E12" s="50" t="n">
        <f aca="false">-1*Assumptions!$C$53</f>
        <v>-0.05</v>
      </c>
      <c r="F12" s="50" t="n">
        <f aca="false">0*Assumptions!$C$53</f>
        <v>0</v>
      </c>
      <c r="G12" s="50" t="n">
        <f aca="false">1*Assumptions!$C$53</f>
        <v>0.05</v>
      </c>
      <c r="H12" s="50" t="n">
        <f aca="false">2*Assumptions!$C$53</f>
        <v>0.1</v>
      </c>
      <c r="I12" s="50" t="n">
        <f aca="false">3*Assumptions!$C$53</f>
        <v>0.15</v>
      </c>
    </row>
    <row r="13" customFormat="false" ht="15" hidden="false" customHeight="false" outlineLevel="0" collapsed="false">
      <c r="B13" s="37" t="n">
        <f aca="false">Assumptions!$C$19+-3*Assumptions!$C$52</f>
        <v>87.45</v>
      </c>
      <c r="C13" s="49" t="n">
        <f aca="false">IFERROR(($B$4*(1-$B$8)-$B$5-$B$6*(1+C$12)-$B$7*$B13)/$B$4,0)</f>
        <v>0.254387807051037</v>
      </c>
      <c r="D13" s="49" t="n">
        <f aca="false">IFERROR(($B$4*(1-$B$8)-$B$5-$B$6*(1+D$12)-$B$7*$B13)/$B$4,0)</f>
        <v>0.22575092274405</v>
      </c>
      <c r="E13" s="49" t="n">
        <f aca="false">IFERROR(($B$4*(1-$B$8)-$B$5-$B$6*(1+E$12)-$B$7*$B13)/$B$4,0)</f>
        <v>0.197114038437062</v>
      </c>
      <c r="F13" s="49" t="n">
        <f aca="false">IFERROR(($B$4*(1-$B$8)-$B$5-$B$6*(1+F$12)-$B$7*$B13)/$B$4,0)</f>
        <v>0.168477154130075</v>
      </c>
      <c r="G13" s="49" t="n">
        <f aca="false">IFERROR(($B$4*(1-$B$8)-$B$5-$B$6*(1+G$12)-$B$7*$B13)/$B$4,0)</f>
        <v>0.139840269823087</v>
      </c>
      <c r="H13" s="49" t="n">
        <f aca="false">IFERROR(($B$4*(1-$B$8)-$B$5-$B$6*(1+H$12)-$B$7*$B13)/$B$4,0)</f>
        <v>0.1112033855161</v>
      </c>
      <c r="I13" s="49" t="n">
        <f aca="false">IFERROR(($B$4*(1-$B$8)-$B$5-$B$6*(1+I$12)-$B$7*$B13)/$B$4,0)</f>
        <v>0.0825665012091127</v>
      </c>
    </row>
    <row r="14" customFormat="false" ht="15" hidden="false" customHeight="false" outlineLevel="0" collapsed="false">
      <c r="B14" s="37" t="n">
        <f aca="false">Assumptions!$C$19+-2*Assumptions!$C$52</f>
        <v>89.95</v>
      </c>
      <c r="C14" s="49" t="n">
        <f aca="false">IFERROR(($B$4*(1-$B$8)-$B$5-$B$6*(1+C$12)-$B$7*$B14)/$B$4,0)</f>
        <v>0.250251368206695</v>
      </c>
      <c r="D14" s="49" t="n">
        <f aca="false">IFERROR(($B$4*(1-$B$8)-$B$5-$B$6*(1+D$12)-$B$7*$B14)/$B$4,0)</f>
        <v>0.221614483899707</v>
      </c>
      <c r="E14" s="49" t="n">
        <f aca="false">IFERROR(($B$4*(1-$B$8)-$B$5-$B$6*(1+E$12)-$B$7*$B14)/$B$4,0)</f>
        <v>0.19297759959272</v>
      </c>
      <c r="F14" s="49" t="n">
        <f aca="false">IFERROR(($B$4*(1-$B$8)-$B$5-$B$6*(1+F$12)-$B$7*$B14)/$B$4,0)</f>
        <v>0.164340715285732</v>
      </c>
      <c r="G14" s="49" t="n">
        <f aca="false">IFERROR(($B$4*(1-$B$8)-$B$5-$B$6*(1+G$12)-$B$7*$B14)/$B$4,0)</f>
        <v>0.135703830978745</v>
      </c>
      <c r="H14" s="49" t="n">
        <f aca="false">IFERROR(($B$4*(1-$B$8)-$B$5-$B$6*(1+H$12)-$B$7*$B14)/$B$4,0)</f>
        <v>0.107066946671757</v>
      </c>
      <c r="I14" s="49" t="n">
        <f aca="false">IFERROR(($B$4*(1-$B$8)-$B$5-$B$6*(1+I$12)-$B$7*$B14)/$B$4,0)</f>
        <v>0.0784300623647701</v>
      </c>
    </row>
    <row r="15" customFormat="false" ht="15" hidden="false" customHeight="false" outlineLevel="0" collapsed="false">
      <c r="B15" s="37" t="n">
        <f aca="false">Assumptions!$C$19+-1*Assumptions!$C$52</f>
        <v>92.45</v>
      </c>
      <c r="C15" s="49" t="n">
        <f aca="false">IFERROR(($B$4*(1-$B$8)-$B$5-$B$6*(1+C$12)-$B$7*$B15)/$B$4,0)</f>
        <v>0.246114929362352</v>
      </c>
      <c r="D15" s="49" t="n">
        <f aca="false">IFERROR(($B$4*(1-$B$8)-$B$5-$B$6*(1+D$12)-$B$7*$B15)/$B$4,0)</f>
        <v>0.217478045055365</v>
      </c>
      <c r="E15" s="49" t="n">
        <f aca="false">IFERROR(($B$4*(1-$B$8)-$B$5-$B$6*(1+E$12)-$B$7*$B15)/$B$4,0)</f>
        <v>0.188841160748377</v>
      </c>
      <c r="F15" s="49" t="n">
        <f aca="false">IFERROR(($B$4*(1-$B$8)-$B$5-$B$6*(1+F$12)-$B$7*$B15)/$B$4,0)</f>
        <v>0.16020427644139</v>
      </c>
      <c r="G15" s="49" t="n">
        <f aca="false">IFERROR(($B$4*(1-$B$8)-$B$5-$B$6*(1+G$12)-$B$7*$B15)/$B$4,0)</f>
        <v>0.131567392134402</v>
      </c>
      <c r="H15" s="49" t="n">
        <f aca="false">IFERROR(($B$4*(1-$B$8)-$B$5-$B$6*(1+H$12)-$B$7*$B15)/$B$4,0)</f>
        <v>0.102930507827415</v>
      </c>
      <c r="I15" s="49" t="n">
        <f aca="false">IFERROR(($B$4*(1-$B$8)-$B$5-$B$6*(1+I$12)-$B$7*$B15)/$B$4,0)</f>
        <v>0.0742936235204275</v>
      </c>
    </row>
    <row r="16" customFormat="false" ht="15" hidden="false" customHeight="false" outlineLevel="0" collapsed="false">
      <c r="B16" s="37" t="n">
        <f aca="false">Assumptions!$C$19+0*Assumptions!$C$52</f>
        <v>94.95</v>
      </c>
      <c r="C16" s="49" t="n">
        <f aca="false">IFERROR(($B$4*(1-$B$8)-$B$5-$B$6*(1+C$12)-$B$7*$B16)/$B$4,0)</f>
        <v>0.241978490518009</v>
      </c>
      <c r="D16" s="49" t="n">
        <f aca="false">IFERROR(($B$4*(1-$B$8)-$B$5-$B$6*(1+D$12)-$B$7*$B16)/$B$4,0)</f>
        <v>0.213341606211022</v>
      </c>
      <c r="E16" s="49" t="n">
        <f aca="false">IFERROR(($B$4*(1-$B$8)-$B$5-$B$6*(1+E$12)-$B$7*$B16)/$B$4,0)</f>
        <v>0.184704721904035</v>
      </c>
      <c r="F16" s="49" t="n">
        <f aca="false">IFERROR(($B$4*(1-$B$8)-$B$5-$B$6*(1+F$12)-$B$7*$B16)/$B$4,0)</f>
        <v>0.156067837597047</v>
      </c>
      <c r="G16" s="49" t="n">
        <f aca="false">IFERROR(($B$4*(1-$B$8)-$B$5-$B$6*(1+G$12)-$B$7*$B16)/$B$4,0)</f>
        <v>0.12743095329006</v>
      </c>
      <c r="H16" s="49" t="n">
        <f aca="false">IFERROR(($B$4*(1-$B$8)-$B$5-$B$6*(1+H$12)-$B$7*$B16)/$B$4,0)</f>
        <v>0.0987940689830722</v>
      </c>
      <c r="I16" s="49" t="n">
        <f aca="false">IFERROR(($B$4*(1-$B$8)-$B$5-$B$6*(1+I$12)-$B$7*$B16)/$B$4,0)</f>
        <v>0.0701571846760849</v>
      </c>
    </row>
    <row r="17" customFormat="false" ht="15" hidden="false" customHeight="false" outlineLevel="0" collapsed="false">
      <c r="B17" s="37" t="n">
        <f aca="false">Assumptions!$C$19+1*Assumptions!$C$52</f>
        <v>97.45</v>
      </c>
      <c r="C17" s="49" t="n">
        <f aca="false">IFERROR(($B$4*(1-$B$8)-$B$5-$B$6*(1+C$12)-$B$7*$B17)/$B$4,0)</f>
        <v>0.237842051673667</v>
      </c>
      <c r="D17" s="49" t="n">
        <f aca="false">IFERROR(($B$4*(1-$B$8)-$B$5-$B$6*(1+D$12)-$B$7*$B17)/$B$4,0)</f>
        <v>0.209205167366679</v>
      </c>
      <c r="E17" s="49" t="n">
        <f aca="false">IFERROR(($B$4*(1-$B$8)-$B$5-$B$6*(1+E$12)-$B$7*$B17)/$B$4,0)</f>
        <v>0.180568283059692</v>
      </c>
      <c r="F17" s="49" t="n">
        <f aca="false">IFERROR(($B$4*(1-$B$8)-$B$5-$B$6*(1+F$12)-$B$7*$B17)/$B$4,0)</f>
        <v>0.151931398752704</v>
      </c>
      <c r="G17" s="49" t="n">
        <f aca="false">IFERROR(($B$4*(1-$B$8)-$B$5-$B$6*(1+G$12)-$B$7*$B17)/$B$4,0)</f>
        <v>0.123294514445717</v>
      </c>
      <c r="H17" s="49" t="n">
        <f aca="false">IFERROR(($B$4*(1-$B$8)-$B$5-$B$6*(1+H$12)-$B$7*$B17)/$B$4,0)</f>
        <v>0.0946576301387296</v>
      </c>
      <c r="I17" s="49" t="n">
        <f aca="false">IFERROR(($B$4*(1-$B$8)-$B$5-$B$6*(1+I$12)-$B$7*$B17)/$B$4,0)</f>
        <v>0.0660207458317422</v>
      </c>
    </row>
    <row r="18" customFormat="false" ht="15" hidden="false" customHeight="false" outlineLevel="0" collapsed="false">
      <c r="B18" s="37" t="n">
        <f aca="false">Assumptions!$C$19+2*Assumptions!$C$52</f>
        <v>99.95</v>
      </c>
      <c r="C18" s="49" t="n">
        <f aca="false">IFERROR(($B$4*(1-$B$8)-$B$5-$B$6*(1+C$12)-$B$7*$B18)/$B$4,0)</f>
        <v>0.233705612829324</v>
      </c>
      <c r="D18" s="49" t="n">
        <f aca="false">IFERROR(($B$4*(1-$B$8)-$B$5-$B$6*(1+D$12)-$B$7*$B18)/$B$4,0)</f>
        <v>0.205068728522337</v>
      </c>
      <c r="E18" s="49" t="n">
        <f aca="false">IFERROR(($B$4*(1-$B$8)-$B$5-$B$6*(1+E$12)-$B$7*$B18)/$B$4,0)</f>
        <v>0.176431844215349</v>
      </c>
      <c r="F18" s="49" t="n">
        <f aca="false">IFERROR(($B$4*(1-$B$8)-$B$5-$B$6*(1+F$12)-$B$7*$B18)/$B$4,0)</f>
        <v>0.147794959908362</v>
      </c>
      <c r="G18" s="49" t="n">
        <f aca="false">IFERROR(($B$4*(1-$B$8)-$B$5-$B$6*(1+G$12)-$B$7*$B18)/$B$4,0)</f>
        <v>0.119158075601374</v>
      </c>
      <c r="H18" s="49" t="n">
        <f aca="false">IFERROR(($B$4*(1-$B$8)-$B$5-$B$6*(1+H$12)-$B$7*$B18)/$B$4,0)</f>
        <v>0.090521191294387</v>
      </c>
      <c r="I18" s="49" t="n">
        <f aca="false">IFERROR(($B$4*(1-$B$8)-$B$5-$B$6*(1+I$12)-$B$7*$B18)/$B$4,0)</f>
        <v>0.0618843069873996</v>
      </c>
    </row>
    <row r="19" customFormat="false" ht="15" hidden="false" customHeight="false" outlineLevel="0" collapsed="false">
      <c r="B19" s="37" t="n">
        <f aca="false">Assumptions!$C$19+3*Assumptions!$C$52</f>
        <v>102.45</v>
      </c>
      <c r="C19" s="49" t="n">
        <f aca="false">IFERROR(($B$4*(1-$B$8)-$B$5-$B$6*(1+C$12)-$B$7*$B19)/$B$4,0)</f>
        <v>0.229569173984981</v>
      </c>
      <c r="D19" s="49" t="n">
        <f aca="false">IFERROR(($B$4*(1-$B$8)-$B$5-$B$6*(1+D$12)-$B$7*$B19)/$B$4,0)</f>
        <v>0.200932289677994</v>
      </c>
      <c r="E19" s="49" t="n">
        <f aca="false">IFERROR(($B$4*(1-$B$8)-$B$5-$B$6*(1+E$12)-$B$7*$B19)/$B$4,0)</f>
        <v>0.172295405371007</v>
      </c>
      <c r="F19" s="49" t="n">
        <f aca="false">IFERROR(($B$4*(1-$B$8)-$B$5-$B$6*(1+F$12)-$B$7*$B19)/$B$4,0)</f>
        <v>0.143658521064019</v>
      </c>
      <c r="G19" s="49" t="n">
        <f aca="false">IFERROR(($B$4*(1-$B$8)-$B$5-$B$6*(1+G$12)-$B$7*$B19)/$B$4,0)</f>
        <v>0.115021636757032</v>
      </c>
      <c r="H19" s="49" t="n">
        <f aca="false">IFERROR(($B$4*(1-$B$8)-$B$5-$B$6*(1+H$12)-$B$7*$B19)/$B$4,0)</f>
        <v>0.0863847524500443</v>
      </c>
      <c r="I19" s="49" t="n">
        <f aca="false">IFERROR(($B$4*(1-$B$8)-$B$5-$B$6*(1+I$12)-$B$7*$B19)/$B$4,0)</f>
        <v>0.057747868143057</v>
      </c>
    </row>
    <row r="20" customFormat="false" ht="15" hidden="false" customHeight="false" outlineLevel="0" collapsed="false">
      <c r="B20" s="37" t="n">
        <f aca="false">Assumptions!$C$19+4*Assumptions!$C$52</f>
        <v>104.95</v>
      </c>
      <c r="C20" s="49" t="n">
        <f aca="false">IFERROR(($B$4*(1-$B$8)-$B$5-$B$6*(1+C$12)-$B$7*$B20)/$B$4,0)</f>
        <v>0.225432735140639</v>
      </c>
      <c r="D20" s="49" t="n">
        <f aca="false">IFERROR(($B$4*(1-$B$8)-$B$5-$B$6*(1+D$12)-$B$7*$B20)/$B$4,0)</f>
        <v>0.196795850833651</v>
      </c>
      <c r="E20" s="49" t="n">
        <f aca="false">IFERROR(($B$4*(1-$B$8)-$B$5-$B$6*(1+E$12)-$B$7*$B20)/$B$4,0)</f>
        <v>0.168158966526664</v>
      </c>
      <c r="F20" s="49" t="n">
        <f aca="false">IFERROR(($B$4*(1-$B$8)-$B$5-$B$6*(1+F$12)-$B$7*$B20)/$B$4,0)</f>
        <v>0.139522082219677</v>
      </c>
      <c r="G20" s="49" t="n">
        <f aca="false">IFERROR(($B$4*(1-$B$8)-$B$5-$B$6*(1+G$12)-$B$7*$B20)/$B$4,0)</f>
        <v>0.110885197912689</v>
      </c>
      <c r="H20" s="49" t="n">
        <f aca="false">IFERROR(($B$4*(1-$B$8)-$B$5-$B$6*(1+H$12)-$B$7*$B20)/$B$4,0)</f>
        <v>0.0822483136057017</v>
      </c>
      <c r="I20" s="49" t="n">
        <f aca="false">IFERROR(($B$4*(1-$B$8)-$B$5-$B$6*(1+I$12)-$B$7*$B20)/$B$4,0)</f>
        <v>0.0536114292987144</v>
      </c>
    </row>
    <row r="23" customFormat="false" ht="15" hidden="false" customHeight="false" outlineLevel="0" collapsed="false">
      <c r="A23" s="36" t="s">
        <v>299</v>
      </c>
    </row>
    <row r="24" customFormat="false" ht="15" hidden="false" customHeight="false" outlineLevel="0" collapsed="false">
      <c r="B24" s="36" t="s">
        <v>300</v>
      </c>
      <c r="C24" s="37" t="n">
        <f aca="false">Assumptions!$C$19+-2*Assumptions!$C$52</f>
        <v>89.95</v>
      </c>
      <c r="D24" s="37" t="n">
        <f aca="false">Assumptions!$C$19+-1*Assumptions!$C$52</f>
        <v>92.45</v>
      </c>
      <c r="E24" s="37" t="n">
        <f aca="false">Assumptions!$C$19+0*Assumptions!$C$52</f>
        <v>94.95</v>
      </c>
      <c r="F24" s="37" t="n">
        <f aca="false">Assumptions!$C$19+1*Assumptions!$C$52</f>
        <v>97.45</v>
      </c>
      <c r="G24" s="37" t="n">
        <f aca="false">Assumptions!$C$19+2*Assumptions!$C$52</f>
        <v>99.95</v>
      </c>
      <c r="H24" s="37" t="n">
        <f aca="false">Assumptions!$C$19+3*Assumptions!$C$52</f>
        <v>102.45</v>
      </c>
    </row>
    <row r="25" customFormat="false" ht="15" hidden="false" customHeight="false" outlineLevel="0" collapsed="false">
      <c r="B25" s="51" t="n">
        <v>0</v>
      </c>
      <c r="C25" s="49" t="n">
        <f aca="false">IFERROR((Assumptions!$C$42*(1-$B25)*(1-$B$8)-$B$5-$B$6-$B$7*C$24)/(Assumptions!$C$42*(1-$B25)),0)</f>
        <v>0.18866049382716</v>
      </c>
      <c r="D25" s="49" t="n">
        <f aca="false">IFERROR((Assumptions!$C$42*(1-$B25)*(1-$B$8)-$B$5-$B$6-$B$7*D$24)/(Assumptions!$C$42*(1-$B25)),0)</f>
        <v>0.184648148148148</v>
      </c>
      <c r="E25" s="49" t="n">
        <f aca="false">IFERROR((Assumptions!$C$42*(1-$B25)*(1-$B$8)-$B$5-$B$6-$B$7*E$24)/(Assumptions!$C$42*(1-$B25)),0)</f>
        <v>0.180635802469136</v>
      </c>
      <c r="F25" s="49" t="n">
        <f aca="false">IFERROR((Assumptions!$C$42*(1-$B25)*(1-$B$8)-$B$5-$B$6-$B$7*F$24)/(Assumptions!$C$42*(1-$B25)),0)</f>
        <v>0.176623456790123</v>
      </c>
      <c r="G25" s="49" t="n">
        <f aca="false">IFERROR((Assumptions!$C$42*(1-$B25)*(1-$B$8)-$B$5-$B$6-$B$7*G$24)/(Assumptions!$C$42*(1-$B25)),0)</f>
        <v>0.172611111111111</v>
      </c>
      <c r="H25" s="49" t="n">
        <f aca="false">IFERROR((Assumptions!$C$42*(1-$B25)*(1-$B$8)-$B$5-$B$6-$B$7*H$24)/(Assumptions!$C$42*(1-$B25)),0)</f>
        <v>0.168598765432099</v>
      </c>
    </row>
    <row r="26" customFormat="false" ht="15" hidden="false" customHeight="false" outlineLevel="0" collapsed="false">
      <c r="B26" s="51" t="n">
        <v>0.02</v>
      </c>
      <c r="C26" s="49" t="n">
        <f aca="false">IFERROR((Assumptions!$C$42*(1-$B26)*(1-$B$8)-$B$5-$B$6-$B$7*C$24)/(Assumptions!$C$42*(1-$B26)),0)</f>
        <v>0.172612748803225</v>
      </c>
      <c r="D26" s="49" t="n">
        <f aca="false">IFERROR((Assumptions!$C$42*(1-$B26)*(1-$B$8)-$B$5-$B$6-$B$7*D$24)/(Assumptions!$C$42*(1-$B26)),0)</f>
        <v>0.168518518518518</v>
      </c>
      <c r="E26" s="49" t="n">
        <f aca="false">IFERROR((Assumptions!$C$42*(1-$B26)*(1-$B$8)-$B$5-$B$6-$B$7*E$24)/(Assumptions!$C$42*(1-$B26)),0)</f>
        <v>0.164424288233812</v>
      </c>
      <c r="F26" s="49" t="n">
        <f aca="false">IFERROR((Assumptions!$C$42*(1-$B26)*(1-$B$8)-$B$5-$B$6-$B$7*F$24)/(Assumptions!$C$42*(1-$B26)),0)</f>
        <v>0.160330057949105</v>
      </c>
      <c r="G26" s="49" t="n">
        <f aca="false">IFERROR((Assumptions!$C$42*(1-$B26)*(1-$B$8)-$B$5-$B$6-$B$7*G$24)/(Assumptions!$C$42*(1-$B26)),0)</f>
        <v>0.156235827664399</v>
      </c>
      <c r="H26" s="49" t="n">
        <f aca="false">IFERROR((Assumptions!$C$42*(1-$B26)*(1-$B$8)-$B$5-$B$6-$B$7*H$24)/(Assumptions!$C$42*(1-$B26)),0)</f>
        <v>0.152141597379693</v>
      </c>
    </row>
    <row r="27" customFormat="false" ht="15" hidden="false" customHeight="false" outlineLevel="0" collapsed="false">
      <c r="B27" s="51" t="n">
        <v>0.03</v>
      </c>
      <c r="C27" s="49" t="n">
        <f aca="false">IFERROR((Assumptions!$C$42*(1-$B27)*(1-$B$8)-$B$5-$B$6-$B$7*C$24)/(Assumptions!$C$42*(1-$B27)),0)</f>
        <v>0.164340715285732</v>
      </c>
      <c r="D27" s="49" t="n">
        <f aca="false">IFERROR((Assumptions!$C$42*(1-$B27)*(1-$B$8)-$B$5-$B$6-$B$7*D$24)/(Assumptions!$C$42*(1-$B27)),0)</f>
        <v>0.16020427644139</v>
      </c>
      <c r="E27" s="49" t="n">
        <f aca="false">IFERROR((Assumptions!$C$42*(1-$B27)*(1-$B$8)-$B$5-$B$6-$B$7*E$24)/(Assumptions!$C$42*(1-$B27)),0)</f>
        <v>0.156067837597047</v>
      </c>
      <c r="F27" s="49" t="n">
        <f aca="false">IFERROR((Assumptions!$C$42*(1-$B27)*(1-$B$8)-$B$5-$B$6-$B$7*F$24)/(Assumptions!$C$42*(1-$B27)),0)</f>
        <v>0.151931398752704</v>
      </c>
      <c r="G27" s="49" t="n">
        <f aca="false">IFERROR((Assumptions!$C$42*(1-$B27)*(1-$B$8)-$B$5-$B$6-$B$7*G$24)/(Assumptions!$C$42*(1-$B27)),0)</f>
        <v>0.147794959908362</v>
      </c>
      <c r="H27" s="49" t="n">
        <f aca="false">IFERROR((Assumptions!$C$42*(1-$B27)*(1-$B$8)-$B$5-$B$6-$B$7*H$24)/(Assumptions!$C$42*(1-$B27)),0)</f>
        <v>0.143658521064019</v>
      </c>
    </row>
    <row r="28" customFormat="false" ht="15" hidden="false" customHeight="false" outlineLevel="0" collapsed="false">
      <c r="B28" s="51" t="n">
        <v>0.04</v>
      </c>
      <c r="C28" s="49" t="n">
        <f aca="false">IFERROR((Assumptions!$C$42*(1-$B28)*(1-$B$8)-$B$5-$B$6-$B$7*C$24)/(Assumptions!$C$42*(1-$B28)),0)</f>
        <v>0.155896347736625</v>
      </c>
      <c r="D28" s="49" t="n">
        <f aca="false">IFERROR((Assumptions!$C$42*(1-$B28)*(1-$B$8)-$B$5-$B$6-$B$7*D$24)/(Assumptions!$C$42*(1-$B28)),0)</f>
        <v>0.151716820987654</v>
      </c>
      <c r="E28" s="49" t="n">
        <f aca="false">IFERROR((Assumptions!$C$42*(1-$B28)*(1-$B$8)-$B$5-$B$6-$B$7*E$24)/(Assumptions!$C$42*(1-$B28)),0)</f>
        <v>0.147537294238683</v>
      </c>
      <c r="F28" s="49" t="n">
        <f aca="false">IFERROR((Assumptions!$C$42*(1-$B28)*(1-$B$8)-$B$5-$B$6-$B$7*F$24)/(Assumptions!$C$42*(1-$B28)),0)</f>
        <v>0.143357767489712</v>
      </c>
      <c r="G28" s="49" t="n">
        <f aca="false">IFERROR((Assumptions!$C$42*(1-$B28)*(1-$B$8)-$B$5-$B$6-$B$7*G$24)/(Assumptions!$C$42*(1-$B28)),0)</f>
        <v>0.139178240740741</v>
      </c>
      <c r="H28" s="49" t="n">
        <f aca="false">IFERROR((Assumptions!$C$42*(1-$B28)*(1-$B$8)-$B$5-$B$6-$B$7*H$24)/(Assumptions!$C$42*(1-$B28)),0)</f>
        <v>0.13499871399177</v>
      </c>
    </row>
    <row r="29" customFormat="false" ht="15" hidden="false" customHeight="false" outlineLevel="0" collapsed="false">
      <c r="B29" s="51" t="n">
        <v>0.05</v>
      </c>
      <c r="C29" s="49" t="n">
        <f aca="false">IFERROR((Assumptions!$C$42*(1-$B29)*(1-$B$8)-$B$5-$B$6-$B$7*C$24)/(Assumptions!$C$42*(1-$B29)),0)</f>
        <v>0.14727420402859</v>
      </c>
      <c r="D29" s="49" t="n">
        <f aca="false">IFERROR((Assumptions!$C$42*(1-$B29)*(1-$B$8)-$B$5-$B$6-$B$7*D$24)/(Assumptions!$C$42*(1-$B29)),0)</f>
        <v>0.143050682261208</v>
      </c>
      <c r="E29" s="49" t="n">
        <f aca="false">IFERROR((Assumptions!$C$42*(1-$B29)*(1-$B$8)-$B$5-$B$6-$B$7*E$24)/(Assumptions!$C$42*(1-$B29)),0)</f>
        <v>0.138827160493827</v>
      </c>
      <c r="F29" s="49" t="n">
        <f aca="false">IFERROR((Assumptions!$C$42*(1-$B29)*(1-$B$8)-$B$5-$B$6-$B$7*F$24)/(Assumptions!$C$42*(1-$B29)),0)</f>
        <v>0.134603638726446</v>
      </c>
      <c r="G29" s="49" t="n">
        <f aca="false">IFERROR((Assumptions!$C$42*(1-$B29)*(1-$B$8)-$B$5-$B$6-$B$7*G$24)/(Assumptions!$C$42*(1-$B29)),0)</f>
        <v>0.130380116959064</v>
      </c>
      <c r="H29" s="49" t="n">
        <f aca="false">IFERROR((Assumptions!$C$42*(1-$B29)*(1-$B$8)-$B$5-$B$6-$B$7*H$24)/(Assumptions!$C$42*(1-$B29)),0)</f>
        <v>0.126156595191683</v>
      </c>
    </row>
    <row r="30" customFormat="false" ht="15" hidden="false" customHeight="false" outlineLevel="0" collapsed="false">
      <c r="B30" s="51" t="n">
        <v>0.06</v>
      </c>
      <c r="C30" s="49" t="n">
        <f aca="false">IFERROR((Assumptions!$C$42*(1-$B30)*(1-$B$8)-$B$5-$B$6-$B$7*C$24)/(Assumptions!$C$42*(1-$B30)),0)</f>
        <v>0.138468610454426</v>
      </c>
      <c r="D30" s="49" t="n">
        <f aca="false">IFERROR((Assumptions!$C$42*(1-$B30)*(1-$B$8)-$B$5-$B$6-$B$7*D$24)/(Assumptions!$C$42*(1-$B30)),0)</f>
        <v>0.134200157604413</v>
      </c>
      <c r="E30" s="49" t="n">
        <f aca="false">IFERROR((Assumptions!$C$42*(1-$B30)*(1-$B$8)-$B$5-$B$6-$B$7*E$24)/(Assumptions!$C$42*(1-$B30)),0)</f>
        <v>0.1299317047544</v>
      </c>
      <c r="F30" s="49" t="n">
        <f aca="false">IFERROR((Assumptions!$C$42*(1-$B30)*(1-$B$8)-$B$5-$B$6-$B$7*F$24)/(Assumptions!$C$42*(1-$B30)),0)</f>
        <v>0.125663251904386</v>
      </c>
      <c r="G30" s="49" t="n">
        <f aca="false">IFERROR((Assumptions!$C$42*(1-$B30)*(1-$B$8)-$B$5-$B$6-$B$7*G$24)/(Assumptions!$C$42*(1-$B30)),0)</f>
        <v>0.121394799054373</v>
      </c>
      <c r="H30" s="49" t="n">
        <f aca="false">IFERROR((Assumptions!$C$42*(1-$B30)*(1-$B$8)-$B$5-$B$6-$B$7*H$24)/(Assumptions!$C$42*(1-$B30)),0)</f>
        <v>0.11712634620436</v>
      </c>
    </row>
    <row r="31" customFormat="false" ht="15" hidden="false" customHeight="false" outlineLevel="0" collapsed="false">
      <c r="B31" s="51" t="n">
        <v>0.08</v>
      </c>
      <c r="C31" s="49" t="n">
        <f aca="false">IFERROR((Assumptions!$C$42*(1-$B31)*(1-$B$8)-$B$5-$B$6-$B$7*C$24)/(Assumptions!$C$42*(1-$B31)),0)</f>
        <v>0.120283145464305</v>
      </c>
      <c r="D31" s="49" t="n">
        <f aca="false">IFERROR((Assumptions!$C$42*(1-$B31)*(1-$B$8)-$B$5-$B$6-$B$7*D$24)/(Assumptions!$C$42*(1-$B31)),0)</f>
        <v>0.115921900161031</v>
      </c>
      <c r="E31" s="49" t="n">
        <f aca="false">IFERROR((Assumptions!$C$42*(1-$B31)*(1-$B$8)-$B$5-$B$6-$B$7*E$24)/(Assumptions!$C$42*(1-$B31)),0)</f>
        <v>0.111560654857756</v>
      </c>
      <c r="F31" s="49" t="n">
        <f aca="false">IFERROR((Assumptions!$C$42*(1-$B31)*(1-$B$8)-$B$5-$B$6-$B$7*F$24)/(Assumptions!$C$42*(1-$B31)),0)</f>
        <v>0.107199409554482</v>
      </c>
      <c r="G31" s="49" t="n">
        <f aca="false">IFERROR((Assumptions!$C$42*(1-$B31)*(1-$B$8)-$B$5-$B$6-$B$7*G$24)/(Assumptions!$C$42*(1-$B31)),0)</f>
        <v>0.102838164251208</v>
      </c>
      <c r="H31" s="49" t="n">
        <f aca="false">IFERROR((Assumptions!$C$42*(1-$B31)*(1-$B$8)-$B$5-$B$6-$B$7*H$24)/(Assumptions!$C$42*(1-$B31)),0)</f>
        <v>0.0984769189479334</v>
      </c>
    </row>
    <row r="32" customFormat="false" ht="15" hidden="false" customHeight="false" outlineLevel="0" collapsed="false">
      <c r="B32" s="51" t="n">
        <v>0.1</v>
      </c>
      <c r="C32" s="49" t="n">
        <f aca="false">IFERROR((Assumptions!$C$42*(1-$B32)*(1-$B$8)-$B$5-$B$6-$B$7*C$24)/(Assumptions!$C$42*(1-$B32)),0)</f>
        <v>0.101289437585734</v>
      </c>
      <c r="D32" s="49" t="n">
        <f aca="false">IFERROR((Assumptions!$C$42*(1-$B32)*(1-$B$8)-$B$5-$B$6-$B$7*D$24)/(Assumptions!$C$42*(1-$B32)),0)</f>
        <v>0.0968312757201646</v>
      </c>
      <c r="E32" s="49" t="n">
        <f aca="false">IFERROR((Assumptions!$C$42*(1-$B32)*(1-$B$8)-$B$5-$B$6-$B$7*E$24)/(Assumptions!$C$42*(1-$B32)),0)</f>
        <v>0.0923731138545953</v>
      </c>
      <c r="F32" s="49" t="n">
        <f aca="false">IFERROR((Assumptions!$C$42*(1-$B32)*(1-$B$8)-$B$5-$B$6-$B$7*F$24)/(Assumptions!$C$42*(1-$B32)),0)</f>
        <v>0.087914951989026</v>
      </c>
      <c r="G32" s="49" t="n">
        <f aca="false">IFERROR((Assumptions!$C$42*(1-$B32)*(1-$B$8)-$B$5-$B$6-$B$7*G$24)/(Assumptions!$C$42*(1-$B32)),0)</f>
        <v>0.0834567901234568</v>
      </c>
      <c r="H32" s="49" t="n">
        <f aca="false">IFERROR((Assumptions!$C$42*(1-$B32)*(1-$B$8)-$B$5-$B$6-$B$7*H$24)/(Assumptions!$C$42*(1-$B32)),0)</f>
        <v>0.0789986282578875</v>
      </c>
    </row>
    <row r="35" customFormat="false" ht="15" hidden="false" customHeight="false" outlineLevel="0" collapsed="false">
      <c r="A35" s="36" t="s">
        <v>301</v>
      </c>
      <c r="C35" s="39" t="n">
        <f aca="false">(Quote_Calculator!$D$15-Quote_Calculator!$D$16+$B$7*C$24)/(1-$B$9-$B$8)</f>
        <v>7.44953216374269</v>
      </c>
      <c r="D35" s="39" t="n">
        <f aca="false">(Quote_Calculator!$D$15-Quote_Calculator!$D$16+$B$7*D$24)/(1-$B$9-$B$8)</f>
        <v>7.48754385964912</v>
      </c>
      <c r="E35" s="39" t="n">
        <f aca="false">(Quote_Calculator!$D$15-Quote_Calculator!$D$16+$B$7*E$24)/(1-$B$9-$B$8)</f>
        <v>7.52555555555556</v>
      </c>
      <c r="F35" s="39" t="n">
        <f aca="false">(Quote_Calculator!$D$15-Quote_Calculator!$D$16+$B$7*F$24)/(1-$B$9-$B$8)</f>
        <v>7.56356725146199</v>
      </c>
      <c r="G35" s="39" t="n">
        <f aca="false">(Quote_Calculator!$D$15-Quote_Calculator!$D$16+$B$7*G$24)/(1-$B$9-$B$8)</f>
        <v>7.60157894736842</v>
      </c>
      <c r="H35" s="39" t="n">
        <f aca="false">(Quote_Calculator!$D$15-Quote_Calculator!$D$16+$B$7*H$24)/(1-$B$9-$B$8)</f>
        <v>7.63959064327486</v>
      </c>
    </row>
    <row r="36" customFormat="false" ht="15" hidden="false" customHeight="false" outlineLevel="0" collapsed="false">
      <c r="A36" s="2" t="s">
        <v>302</v>
      </c>
    </row>
  </sheetData>
  <conditionalFormatting sqref="C13:I20">
    <cfRule type="cellIs" priority="2" operator="lessThan" aboveAverage="0" equalAverage="0" bottom="0" percent="0" rank="0" text="" dxfId="1">
      <formula>$B$9</formula>
    </cfRule>
  </conditionalFormatting>
  <conditionalFormatting sqref="C25:H32">
    <cfRule type="cellIs" priority="3" operator="lessThan" aboveAverage="0" equalAverage="0" bottom="0" percent="0" rank="0" text="" dxfId="1">
      <formula>$B$9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K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8" min="7" style="0" width="15"/>
    <col collapsed="false" customWidth="true" hidden="false" outlineLevel="0" max="9" min="9" style="0" width="3"/>
    <col collapsed="false" customWidth="true" hidden="false" outlineLevel="0" max="10" min="10" style="0" width="46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303</v>
      </c>
    </row>
    <row r="2" customFormat="false" ht="15" hidden="false" customHeight="false" outlineLevel="0" collapsed="false">
      <c r="A2" s="2" t="s">
        <v>304</v>
      </c>
    </row>
    <row r="4" customFormat="false" ht="15" hidden="false" customHeight="false" outlineLevel="0" collapsed="false">
      <c r="A4" s="13" t="s">
        <v>305</v>
      </c>
      <c r="B4" s="43" t="n">
        <f aca="false">Quote_Calculator!$D$22</f>
        <v>7.857</v>
      </c>
      <c r="J4" s="36" t="s">
        <v>306</v>
      </c>
    </row>
    <row r="5" customFormat="false" ht="15" hidden="false" customHeight="false" outlineLevel="0" collapsed="false">
      <c r="A5" s="13" t="s">
        <v>307</v>
      </c>
      <c r="B5" s="43" t="n">
        <f aca="false">Assumptions!$C$21</f>
        <v>4</v>
      </c>
      <c r="J5" s="13" t="s">
        <v>308</v>
      </c>
      <c r="K5" s="46" t="n">
        <f aca="false">G13+NPV(B10,G14:G38)</f>
        <v>26.8131779506875</v>
      </c>
    </row>
    <row r="6" customFormat="false" ht="15" hidden="false" customHeight="false" outlineLevel="0" collapsed="false">
      <c r="A6" s="13" t="s">
        <v>309</v>
      </c>
      <c r="B6" s="43" t="n">
        <f aca="false">(B4-B5)*Assumptions!$C$6/10</f>
        <v>38.57</v>
      </c>
      <c r="J6" s="13" t="s">
        <v>74</v>
      </c>
      <c r="K6" s="47" t="n">
        <f aca="false">IFERROR(IRR(G13:G38),0)</f>
        <v>0.173313750302678</v>
      </c>
    </row>
    <row r="7" customFormat="false" ht="15" hidden="false" customHeight="false" outlineLevel="0" collapsed="false">
      <c r="A7" s="13" t="s">
        <v>310</v>
      </c>
      <c r="B7" s="43" t="n">
        <f aca="false">Energy!$B$26</f>
        <v>29.6947</v>
      </c>
      <c r="J7" s="13" t="s">
        <v>311</v>
      </c>
      <c r="K7" s="52" t="n">
        <f aca="false">IFERROR(INDEX(A13:A38,MATCH(TRUE(),INDEX(H13:H38&gt;=0,0),0))-1+(-INDEX(H13:H38,MATCH(TRUE(),INDEX(H13:H38&gt;=0,0),0)-1))/INDEX(G13:G38,MATCH(TRUE(),INDEX(H13:H38&gt;=0,0),0)),"n/a")</f>
        <v>5.51748560711913</v>
      </c>
    </row>
    <row r="8" customFormat="false" ht="15" hidden="false" customHeight="false" outlineLevel="0" collapsed="false">
      <c r="A8" s="13" t="s">
        <v>312</v>
      </c>
      <c r="B8" s="43" t="n">
        <f aca="false">Assumptions!$C$18</f>
        <v>2.6</v>
      </c>
      <c r="J8" s="13" t="s">
        <v>313</v>
      </c>
      <c r="K8" s="46" t="n">
        <f aca="false">NPV(B10,G14:G38)</f>
        <v>65.3831779506875</v>
      </c>
    </row>
    <row r="9" customFormat="false" ht="15" hidden="false" customHeight="false" outlineLevel="0" collapsed="false">
      <c r="A9" s="13" t="s">
        <v>314</v>
      </c>
      <c r="B9" s="44" t="n">
        <f aca="false">Assumptions!$C$23*Assumptions!$C$6/100</f>
        <v>0.6</v>
      </c>
      <c r="J9" s="13" t="s">
        <v>315</v>
      </c>
      <c r="K9" s="46" t="n">
        <f aca="false">B5+K8/(Assumptions!$C$6/10)</f>
        <v>10.5383177950688</v>
      </c>
    </row>
    <row r="10" customFormat="false" ht="15" hidden="false" customHeight="false" outlineLevel="0" collapsed="false">
      <c r="A10" s="13" t="s">
        <v>316</v>
      </c>
      <c r="B10" s="45" t="n">
        <f aca="false">Assumptions!$C$25</f>
        <v>0.09</v>
      </c>
      <c r="J10" s="13" t="s">
        <v>317</v>
      </c>
      <c r="K10" s="46" t="n">
        <f aca="false">K9-B4</f>
        <v>2.68131779506875</v>
      </c>
    </row>
    <row r="11" customFormat="false" ht="15" hidden="false" customHeight="false" outlineLevel="0" collapsed="false">
      <c r="J11" s="13" t="s">
        <v>318</v>
      </c>
      <c r="K11" s="46" t="n">
        <f aca="false">K9-Assumptions!$C$49</f>
        <v>2.93831779506875</v>
      </c>
    </row>
    <row r="12" customFormat="false" ht="39.55" hidden="false" customHeight="false" outlineLevel="0" collapsed="false">
      <c r="A12" s="10" t="s">
        <v>319</v>
      </c>
      <c r="B12" s="10" t="s">
        <v>320</v>
      </c>
      <c r="C12" s="10" t="s">
        <v>321</v>
      </c>
      <c r="D12" s="10" t="s">
        <v>322</v>
      </c>
      <c r="E12" s="10" t="s">
        <v>323</v>
      </c>
      <c r="F12" s="10" t="s">
        <v>324</v>
      </c>
      <c r="G12" s="10" t="s">
        <v>325</v>
      </c>
      <c r="H12" s="10" t="s">
        <v>326</v>
      </c>
      <c r="J12" s="13" t="s">
        <v>327</v>
      </c>
      <c r="K12" s="46" t="n">
        <f aca="false">K8/(Assumptions!$C$6/10)</f>
        <v>6.53831779506875</v>
      </c>
    </row>
    <row r="13" customFormat="false" ht="15" hidden="false" customHeight="false" outlineLevel="0" collapsed="false">
      <c r="A13" s="53" t="n">
        <v>0</v>
      </c>
      <c r="F13" s="39" t="n">
        <f aca="false">-B6</f>
        <v>-38.57</v>
      </c>
      <c r="G13" s="39" t="n">
        <f aca="false">F13</f>
        <v>-38.57</v>
      </c>
      <c r="H13" s="39" t="n">
        <f aca="false">G13</f>
        <v>-38.57</v>
      </c>
      <c r="J13" s="13" t="s">
        <v>328</v>
      </c>
      <c r="K13" s="46" t="n">
        <f aca="false">(B4-Assumptions!$C$49)*Assumptions!$C$6/10</f>
        <v>2.57</v>
      </c>
    </row>
    <row r="14" customFormat="false" ht="15" hidden="false" customHeight="false" outlineLevel="0" collapsed="false">
      <c r="A14" s="53" t="n">
        <v>1</v>
      </c>
      <c r="B14" s="54" t="n">
        <f aca="false">IF(A14&lt;=Assumptions!$C$9,(1-Assumptions!$C$15)^(A14-1),0)</f>
        <v>1</v>
      </c>
      <c r="C14" s="39" t="n">
        <f aca="false">$B$7*B14</f>
        <v>29.6947</v>
      </c>
      <c r="D14" s="39" t="n">
        <f aca="false">C14*$B$8/10</f>
        <v>7.720622</v>
      </c>
      <c r="E14" s="39" t="n">
        <f aca="false">IF(A14&lt;=Assumptions!$C$9,-$B$9*(1+Assumptions!$C$24)^(A14-1),0)</f>
        <v>-0.6</v>
      </c>
      <c r="F14" s="39" t="n">
        <v>0</v>
      </c>
      <c r="G14" s="39" t="n">
        <f aca="false">D14+E14+F14</f>
        <v>7.120622</v>
      </c>
      <c r="H14" s="39" t="n">
        <f aca="false">H13+G14</f>
        <v>-31.449378</v>
      </c>
      <c r="J14" s="13" t="s">
        <v>329</v>
      </c>
      <c r="K14" s="46" t="n">
        <f aca="false">IFERROR(K13/(NPV(B10,D14:D38)/B7),0)</f>
        <v>1.04605999338378</v>
      </c>
    </row>
    <row r="15" customFormat="false" ht="15" hidden="false" customHeight="false" outlineLevel="0" collapsed="false">
      <c r="A15" s="53" t="n">
        <v>2</v>
      </c>
      <c r="B15" s="54" t="n">
        <f aca="false">IF(A15&lt;=Assumptions!$C$9,(1-Assumptions!$C$15)^(A15-1),0)</f>
        <v>0.995</v>
      </c>
      <c r="C15" s="39" t="n">
        <f aca="false">$B$7*B15</f>
        <v>29.5462265</v>
      </c>
      <c r="D15" s="39" t="n">
        <f aca="false">C15*$B$8/10</f>
        <v>7.68201889</v>
      </c>
      <c r="E15" s="39" t="n">
        <f aca="false">IF(A15&lt;=Assumptions!$C$9,-$B$9*(1+Assumptions!$C$24)^(A15-1),0)</f>
        <v>-0.618</v>
      </c>
      <c r="F15" s="39" t="n">
        <v>0</v>
      </c>
      <c r="G15" s="39" t="n">
        <f aca="false">D15+E15+F15</f>
        <v>7.06401889</v>
      </c>
      <c r="H15" s="39" t="n">
        <f aca="false">H14+G15</f>
        <v>-24.38535911</v>
      </c>
      <c r="J15" s="13" t="s">
        <v>330</v>
      </c>
      <c r="K15" s="55" t="n">
        <f aca="false">IFERROR(K14/Energy!$B$24,0)</f>
        <v>0.00598727058726705</v>
      </c>
    </row>
    <row r="16" customFormat="false" ht="15" hidden="false" customHeight="false" outlineLevel="0" collapsed="false">
      <c r="A16" s="53" t="n">
        <v>3</v>
      </c>
      <c r="B16" s="54" t="n">
        <f aca="false">IF(A16&lt;=Assumptions!$C$9,(1-Assumptions!$C$15)^(A16-1),0)</f>
        <v>0.990025</v>
      </c>
      <c r="C16" s="39" t="n">
        <f aca="false">$B$7*B16</f>
        <v>29.3984953675</v>
      </c>
      <c r="D16" s="39" t="n">
        <f aca="false">C16*$B$8/10</f>
        <v>7.64360879555</v>
      </c>
      <c r="E16" s="39" t="n">
        <f aca="false">IF(A16&lt;=Assumptions!$C$9,-$B$9*(1+Assumptions!$C$24)^(A16-1),0)</f>
        <v>-0.63654</v>
      </c>
      <c r="F16" s="39" t="n">
        <v>0</v>
      </c>
      <c r="G16" s="39" t="n">
        <f aca="false">D16+E16+F16</f>
        <v>7.00706879555</v>
      </c>
      <c r="H16" s="39" t="n">
        <f aca="false">H15+G16</f>
        <v>-17.37829031445</v>
      </c>
    </row>
    <row r="17" customFormat="false" ht="15" hidden="false" customHeight="false" outlineLevel="0" collapsed="false">
      <c r="A17" s="53" t="n">
        <v>4</v>
      </c>
      <c r="B17" s="54" t="n">
        <f aca="false">IF(A17&lt;=Assumptions!$C$9,(1-Assumptions!$C$15)^(A17-1),0)</f>
        <v>0.985074875</v>
      </c>
      <c r="C17" s="39" t="n">
        <f aca="false">$B$7*B17</f>
        <v>29.2515028906625</v>
      </c>
      <c r="D17" s="39" t="n">
        <f aca="false">C17*$B$8/10</f>
        <v>7.60539075157225</v>
      </c>
      <c r="E17" s="39" t="n">
        <f aca="false">IF(A17&lt;=Assumptions!$C$9,-$B$9*(1+Assumptions!$C$24)^(A17-1),0)</f>
        <v>-0.6556362</v>
      </c>
      <c r="F17" s="39" t="n">
        <v>0</v>
      </c>
      <c r="G17" s="39" t="n">
        <f aca="false">D17+E17+F17</f>
        <v>6.94975455157225</v>
      </c>
      <c r="H17" s="39" t="n">
        <f aca="false">H16+G17</f>
        <v>-10.4285357628777</v>
      </c>
      <c r="J17" s="2" t="s">
        <v>331</v>
      </c>
    </row>
    <row r="18" customFormat="false" ht="15" hidden="false" customHeight="false" outlineLevel="0" collapsed="false">
      <c r="A18" s="53" t="n">
        <v>5</v>
      </c>
      <c r="B18" s="54" t="n">
        <f aca="false">IF(A18&lt;=Assumptions!$C$9,(1-Assumptions!$C$15)^(A18-1),0)</f>
        <v>0.980149500625</v>
      </c>
      <c r="C18" s="39" t="n">
        <f aca="false">$B$7*B18</f>
        <v>29.1052453762092</v>
      </c>
      <c r="D18" s="39" t="n">
        <f aca="false">C18*$B$8/10</f>
        <v>7.56736379781439</v>
      </c>
      <c r="E18" s="39" t="n">
        <f aca="false">IF(A18&lt;=Assumptions!$C$9,-$B$9*(1+Assumptions!$C$24)^(A18-1),0)</f>
        <v>-0.675305286</v>
      </c>
      <c r="F18" s="39" t="n">
        <v>0</v>
      </c>
      <c r="G18" s="39" t="n">
        <f aca="false">D18+E18+F18</f>
        <v>6.89205851181439</v>
      </c>
      <c r="H18" s="39" t="n">
        <f aca="false">H17+G18</f>
        <v>-3.53647725106334</v>
      </c>
      <c r="J18" s="2" t="s">
        <v>332</v>
      </c>
    </row>
    <row r="19" customFormat="false" ht="15" hidden="false" customHeight="false" outlineLevel="0" collapsed="false">
      <c r="A19" s="53" t="n">
        <v>6</v>
      </c>
      <c r="B19" s="54" t="n">
        <f aca="false">IF(A19&lt;=Assumptions!$C$9,(1-Assumptions!$C$15)^(A19-1),0)</f>
        <v>0.975248753121875</v>
      </c>
      <c r="C19" s="39" t="n">
        <f aca="false">$B$7*B19</f>
        <v>28.9597191493282</v>
      </c>
      <c r="D19" s="39" t="n">
        <f aca="false">C19*$B$8/10</f>
        <v>7.52952697882532</v>
      </c>
      <c r="E19" s="39" t="n">
        <f aca="false">IF(A19&lt;=Assumptions!$C$9,-$B$9*(1+Assumptions!$C$24)^(A19-1),0)</f>
        <v>-0.69556444458</v>
      </c>
      <c r="F19" s="39" t="n">
        <v>0</v>
      </c>
      <c r="G19" s="39" t="n">
        <f aca="false">D19+E19+F19</f>
        <v>6.83396253424532</v>
      </c>
      <c r="H19" s="39" t="n">
        <f aca="false">H18+G19</f>
        <v>3.29748528318198</v>
      </c>
    </row>
    <row r="20" customFormat="false" ht="15" hidden="false" customHeight="false" outlineLevel="0" collapsed="false">
      <c r="A20" s="53" t="n">
        <v>7</v>
      </c>
      <c r="B20" s="54" t="n">
        <f aca="false">IF(A20&lt;=Assumptions!$C$9,(1-Assumptions!$C$15)^(A20-1),0)</f>
        <v>0.970372509356266</v>
      </c>
      <c r="C20" s="39" t="n">
        <f aca="false">$B$7*B20</f>
        <v>28.8149205535815</v>
      </c>
      <c r="D20" s="39" t="n">
        <f aca="false">C20*$B$8/10</f>
        <v>7.49187934393119</v>
      </c>
      <c r="E20" s="39" t="n">
        <f aca="false">IF(A20&lt;=Assumptions!$C$9,-$B$9*(1+Assumptions!$C$24)^(A20-1),0)</f>
        <v>-0.7164313779174</v>
      </c>
      <c r="F20" s="39" t="n">
        <v>0</v>
      </c>
      <c r="G20" s="39" t="n">
        <f aca="false">D20+E20+F20</f>
        <v>6.77544796601379</v>
      </c>
      <c r="H20" s="39" t="n">
        <f aca="false">H19+G20</f>
        <v>10.0729332491958</v>
      </c>
    </row>
    <row r="21" customFormat="false" ht="15" hidden="false" customHeight="false" outlineLevel="0" collapsed="false">
      <c r="A21" s="53" t="n">
        <v>8</v>
      </c>
      <c r="B21" s="54" t="n">
        <f aca="false">IF(A21&lt;=Assumptions!$C$9,(1-Assumptions!$C$15)^(A21-1),0)</f>
        <v>0.965520646809484</v>
      </c>
      <c r="C21" s="39" t="n">
        <f aca="false">$B$7*B21</f>
        <v>28.6708459508136</v>
      </c>
      <c r="D21" s="39" t="n">
        <f aca="false">C21*$B$8/10</f>
        <v>7.45441994721154</v>
      </c>
      <c r="E21" s="39" t="n">
        <f aca="false">IF(A21&lt;=Assumptions!$C$9,-$B$9*(1+Assumptions!$C$24)^(A21-1),0)</f>
        <v>-0.737924319254922</v>
      </c>
      <c r="F21" s="39" t="n">
        <v>0</v>
      </c>
      <c r="G21" s="39" t="n">
        <f aca="false">D21+E21+F21</f>
        <v>6.71649562795662</v>
      </c>
      <c r="H21" s="39" t="n">
        <f aca="false">H20+G21</f>
        <v>16.7894288771524</v>
      </c>
    </row>
    <row r="22" customFormat="false" ht="15" hidden="false" customHeight="false" outlineLevel="0" collapsed="false">
      <c r="A22" s="53" t="n">
        <v>9</v>
      </c>
      <c r="B22" s="54" t="n">
        <f aca="false">IF(A22&lt;=Assumptions!$C$9,(1-Assumptions!$C$15)^(A22-1),0)</f>
        <v>0.960693043575437</v>
      </c>
      <c r="C22" s="39" t="n">
        <f aca="false">$B$7*B22</f>
        <v>28.5274917210595</v>
      </c>
      <c r="D22" s="39" t="n">
        <f aca="false">C22*$B$8/10</f>
        <v>7.41714784747548</v>
      </c>
      <c r="E22" s="39" t="n">
        <f aca="false">IF(A22&lt;=Assumptions!$C$9,-$B$9*(1+Assumptions!$C$24)^(A22-1),0)</f>
        <v>-0.76006204883257</v>
      </c>
      <c r="F22" s="39" t="n">
        <v>0</v>
      </c>
      <c r="G22" s="39" t="n">
        <f aca="false">D22+E22+F22</f>
        <v>6.65708579864291</v>
      </c>
      <c r="H22" s="39" t="n">
        <f aca="false">H21+G22</f>
        <v>23.4465146757953</v>
      </c>
    </row>
    <row r="23" customFormat="false" ht="15" hidden="false" customHeight="false" outlineLevel="0" collapsed="false">
      <c r="A23" s="53" t="n">
        <v>10</v>
      </c>
      <c r="B23" s="54" t="n">
        <f aca="false">IF(A23&lt;=Assumptions!$C$9,(1-Assumptions!$C$15)^(A23-1),0)</f>
        <v>0.95588957835756</v>
      </c>
      <c r="C23" s="39" t="n">
        <f aca="false">$B$7*B23</f>
        <v>28.3848542624542</v>
      </c>
      <c r="D23" s="39" t="n">
        <f aca="false">C23*$B$8/10</f>
        <v>7.3800621082381</v>
      </c>
      <c r="E23" s="39" t="n">
        <f aca="false">IF(A23&lt;=Assumptions!$C$9,-$B$9*(1+Assumptions!$C$24)^(A23-1),0)</f>
        <v>-0.782863910297547</v>
      </c>
      <c r="F23" s="39" t="n">
        <v>0</v>
      </c>
      <c r="G23" s="39" t="n">
        <f aca="false">D23+E23+F23</f>
        <v>6.59719819794056</v>
      </c>
      <c r="H23" s="39" t="n">
        <f aca="false">H22+G23</f>
        <v>30.0437128737359</v>
      </c>
    </row>
    <row r="24" customFormat="false" ht="15" hidden="false" customHeight="false" outlineLevel="0" collapsed="false">
      <c r="A24" s="53" t="n">
        <v>11</v>
      </c>
      <c r="B24" s="54" t="n">
        <f aca="false">IF(A24&lt;=Assumptions!$C$9,(1-Assumptions!$C$15)^(A24-1),0)</f>
        <v>0.951110130465772</v>
      </c>
      <c r="C24" s="39" t="n">
        <f aca="false">$B$7*B24</f>
        <v>28.242929991142</v>
      </c>
      <c r="D24" s="39" t="n">
        <f aca="false">C24*$B$8/10</f>
        <v>7.34316179769691</v>
      </c>
      <c r="E24" s="39" t="n">
        <f aca="false">IF(A24&lt;=Assumptions!$C$9,-$B$9*(1+Assumptions!$C$24)^(A24-1),0)</f>
        <v>-0.806349827606473</v>
      </c>
      <c r="F24" s="39" t="n">
        <v>0</v>
      </c>
      <c r="G24" s="39" t="n">
        <f aca="false">D24+E24+F24</f>
        <v>6.53681197009044</v>
      </c>
      <c r="H24" s="39" t="n">
        <f aca="false">H23+G24</f>
        <v>36.5805248438263</v>
      </c>
    </row>
    <row r="25" customFormat="false" ht="15" hidden="false" customHeight="false" outlineLevel="0" collapsed="false">
      <c r="A25" s="53" t="n">
        <v>12</v>
      </c>
      <c r="B25" s="54" t="n">
        <f aca="false">IF(A25&lt;=Assumptions!$C$9,(1-Assumptions!$C$15)^(A25-1),0)</f>
        <v>0.946354579813443</v>
      </c>
      <c r="C25" s="39" t="n">
        <f aca="false">$B$7*B25</f>
        <v>28.1017153411863</v>
      </c>
      <c r="D25" s="39" t="n">
        <f aca="false">C25*$B$8/10</f>
        <v>7.30644598870843</v>
      </c>
      <c r="E25" s="39" t="n">
        <f aca="false">IF(A25&lt;=Assumptions!$C$9,-$B$9*(1+Assumptions!$C$24)^(A25-1),0)</f>
        <v>-0.830540322434668</v>
      </c>
      <c r="F25" s="39" t="n">
        <v>0</v>
      </c>
      <c r="G25" s="39" t="n">
        <f aca="false">D25+E25+F25</f>
        <v>6.47590566627376</v>
      </c>
      <c r="H25" s="39" t="n">
        <f aca="false">H24+G25</f>
        <v>43.0564305101001</v>
      </c>
    </row>
    <row r="26" customFormat="false" ht="15" hidden="false" customHeight="false" outlineLevel="0" collapsed="false">
      <c r="A26" s="53" t="n">
        <v>13</v>
      </c>
      <c r="B26" s="54" t="n">
        <f aca="false">IF(A26&lt;=Assumptions!$C$9,(1-Assumptions!$C$15)^(A26-1),0)</f>
        <v>0.941622806914376</v>
      </c>
      <c r="C26" s="39" t="n">
        <f aca="false">$B$7*B26</f>
        <v>27.9612067644803</v>
      </c>
      <c r="D26" s="39" t="n">
        <f aca="false">C26*$B$8/10</f>
        <v>7.26991375876488</v>
      </c>
      <c r="E26" s="39" t="n">
        <f aca="false">IF(A26&lt;=Assumptions!$C$9,-$B$9*(1+Assumptions!$C$24)^(A26-1),0)</f>
        <v>-0.855456532107708</v>
      </c>
      <c r="F26" s="39" t="n">
        <v>0</v>
      </c>
      <c r="G26" s="39" t="n">
        <f aca="false">D26+E26+F26</f>
        <v>6.41445722665718</v>
      </c>
      <c r="H26" s="39" t="n">
        <f aca="false">H25+G26</f>
        <v>49.4708877367572</v>
      </c>
    </row>
    <row r="27" customFormat="false" ht="15" hidden="false" customHeight="false" outlineLevel="0" collapsed="false">
      <c r="A27" s="53" t="n">
        <v>14</v>
      </c>
      <c r="B27" s="54" t="n">
        <f aca="false">IF(A27&lt;=Assumptions!$C$9,(1-Assumptions!$C$15)^(A27-1),0)</f>
        <v>0.936914692879804</v>
      </c>
      <c r="C27" s="39" t="n">
        <f aca="false">$B$7*B27</f>
        <v>27.8214007306579</v>
      </c>
      <c r="D27" s="39" t="n">
        <f aca="false">C27*$B$8/10</f>
        <v>7.23356418997106</v>
      </c>
      <c r="E27" s="39" t="n">
        <f aca="false">IF(A27&lt;=Assumptions!$C$9,-$B$9*(1+Assumptions!$C$24)^(A27-1),0)</f>
        <v>-0.881120228070939</v>
      </c>
      <c r="F27" s="39" t="n">
        <v>0</v>
      </c>
      <c r="G27" s="39" t="n">
        <f aca="false">D27+E27+F27</f>
        <v>6.35244396190012</v>
      </c>
      <c r="H27" s="39" t="n">
        <f aca="false">H26+G27</f>
        <v>55.8233316986574</v>
      </c>
    </row>
    <row r="28" customFormat="false" ht="15" hidden="false" customHeight="false" outlineLevel="0" collapsed="false">
      <c r="A28" s="53" t="n">
        <v>15</v>
      </c>
      <c r="B28" s="54" t="n">
        <f aca="false">IF(A28&lt;=Assumptions!$C$9,(1-Assumptions!$C$15)^(A28-1),0)</f>
        <v>0.932230119415405</v>
      </c>
      <c r="C28" s="39" t="n">
        <f aca="false">$B$7*B28</f>
        <v>27.6822937270046</v>
      </c>
      <c r="D28" s="39" t="n">
        <f aca="false">C28*$B$8/10</f>
        <v>7.1973963690212</v>
      </c>
      <c r="E28" s="39" t="n">
        <f aca="false">IF(A28&lt;=Assumptions!$C$9,-$B$9*(1+Assumptions!$C$24)^(A28-1),0)</f>
        <v>-0.907553834913067</v>
      </c>
      <c r="F28" s="39" t="n">
        <v>0</v>
      </c>
      <c r="G28" s="39" t="n">
        <f aca="false">D28+E28+F28</f>
        <v>6.28984253410814</v>
      </c>
      <c r="H28" s="39" t="n">
        <f aca="false">H27+G28</f>
        <v>62.1131742327655</v>
      </c>
    </row>
    <row r="29" customFormat="false" ht="15" hidden="false" customHeight="false" outlineLevel="0" collapsed="false">
      <c r="A29" s="53" t="n">
        <v>16</v>
      </c>
      <c r="B29" s="54" t="n">
        <f aca="false">IF(A29&lt;=Assumptions!$C$9,(1-Assumptions!$C$15)^(A29-1),0)</f>
        <v>0.927568968818328</v>
      </c>
      <c r="C29" s="39" t="n">
        <f aca="false">$B$7*B29</f>
        <v>27.5438822583696</v>
      </c>
      <c r="D29" s="39" t="n">
        <f aca="false">C29*$B$8/10</f>
        <v>7.1614093871761</v>
      </c>
      <c r="E29" s="39" t="n">
        <f aca="false">IF(A29&lt;=Assumptions!$C$9,-$B$9*(1+Assumptions!$C$24)^(A29-1),0)</f>
        <v>-0.934780449960459</v>
      </c>
      <c r="F29" s="39" t="n">
        <v>0</v>
      </c>
      <c r="G29" s="39" t="n">
        <f aca="false">D29+E29+F29</f>
        <v>6.22662893721564</v>
      </c>
      <c r="H29" s="39" t="n">
        <f aca="false">H28+G29</f>
        <v>68.3398031699811</v>
      </c>
    </row>
    <row r="30" customFormat="false" ht="15" hidden="false" customHeight="false" outlineLevel="0" collapsed="false">
      <c r="A30" s="53" t="n">
        <v>17</v>
      </c>
      <c r="B30" s="54" t="n">
        <f aca="false">IF(A30&lt;=Assumptions!$C$9,(1-Assumptions!$C$15)^(A30-1),0)</f>
        <v>0.922931123974236</v>
      </c>
      <c r="C30" s="39" t="n">
        <f aca="false">$B$7*B30</f>
        <v>27.4061628470778</v>
      </c>
      <c r="D30" s="39" t="n">
        <f aca="false">C30*$B$8/10</f>
        <v>7.12560234024022</v>
      </c>
      <c r="E30" s="39" t="n">
        <f aca="false">IF(A30&lt;=Assumptions!$C$9,-$B$9*(1+Assumptions!$C$24)^(A30-1),0)</f>
        <v>-0.962823863459273</v>
      </c>
      <c r="F30" s="39" t="n">
        <v>0</v>
      </c>
      <c r="G30" s="39" t="n">
        <f aca="false">D30+E30+F30</f>
        <v>6.16277847678095</v>
      </c>
      <c r="H30" s="39" t="n">
        <f aca="false">H29+G30</f>
        <v>74.5025816467621</v>
      </c>
    </row>
    <row r="31" customFormat="false" ht="15" hidden="false" customHeight="false" outlineLevel="0" collapsed="false">
      <c r="A31" s="53" t="n">
        <v>18</v>
      </c>
      <c r="B31" s="54" t="n">
        <f aca="false">IF(A31&lt;=Assumptions!$C$9,(1-Assumptions!$C$15)^(A31-1),0)</f>
        <v>0.918316468354365</v>
      </c>
      <c r="C31" s="39" t="n">
        <f aca="false">$B$7*B31</f>
        <v>27.2691320328424</v>
      </c>
      <c r="D31" s="39" t="n">
        <f aca="false">C31*$B$8/10</f>
        <v>7.08997432853902</v>
      </c>
      <c r="E31" s="39" t="n">
        <f aca="false">IF(A31&lt;=Assumptions!$C$9,-$B$9*(1+Assumptions!$C$24)^(A31-1),0)</f>
        <v>-0.991708579363051</v>
      </c>
      <c r="F31" s="39" t="n">
        <v>0</v>
      </c>
      <c r="G31" s="39" t="n">
        <f aca="false">D31+E31+F31</f>
        <v>6.09826574917597</v>
      </c>
      <c r="H31" s="39" t="n">
        <f aca="false">H30+G31</f>
        <v>80.6008473959381</v>
      </c>
    </row>
    <row r="32" customFormat="false" ht="15" hidden="false" customHeight="false" outlineLevel="0" collapsed="false">
      <c r="A32" s="53" t="n">
        <v>19</v>
      </c>
      <c r="B32" s="54" t="n">
        <f aca="false">IF(A32&lt;=Assumptions!$C$9,(1-Assumptions!$C$15)^(A32-1),0)</f>
        <v>0.913724886012593</v>
      </c>
      <c r="C32" s="39" t="n">
        <f aca="false">$B$7*B32</f>
        <v>27.1327863726782</v>
      </c>
      <c r="D32" s="39" t="n">
        <f aca="false">C32*$B$8/10</f>
        <v>7.05452445689632</v>
      </c>
      <c r="E32" s="39" t="n">
        <f aca="false">IF(A32&lt;=Assumptions!$C$9,-$B$9*(1+Assumptions!$C$24)^(A32-1),0)</f>
        <v>-1.02145983674394</v>
      </c>
      <c r="F32" s="39" t="n">
        <v>0</v>
      </c>
      <c r="G32" s="39" t="n">
        <f aca="false">D32+E32+F32</f>
        <v>6.03306462015238</v>
      </c>
      <c r="H32" s="39" t="n">
        <f aca="false">H31+G32</f>
        <v>86.6339120160904</v>
      </c>
    </row>
    <row r="33" customFormat="false" ht="15" hidden="false" customHeight="false" outlineLevel="0" collapsed="false">
      <c r="A33" s="53" t="n">
        <v>20</v>
      </c>
      <c r="B33" s="54" t="n">
        <f aca="false">IF(A33&lt;=Assumptions!$C$9,(1-Assumptions!$C$15)^(A33-1),0)</f>
        <v>0.90915626158253</v>
      </c>
      <c r="C33" s="39" t="n">
        <f aca="false">$B$7*B33</f>
        <v>26.9971224408148</v>
      </c>
      <c r="D33" s="39" t="n">
        <f aca="false">C33*$B$8/10</f>
        <v>7.01925183461184</v>
      </c>
      <c r="E33" s="39" t="n">
        <f aca="false">IF(A33&lt;=Assumptions!$C$9,-$B$9*(1+Assumptions!$C$24)^(A33-1),0)</f>
        <v>-1.05210363184626</v>
      </c>
      <c r="F33" s="39" t="n">
        <v>0</v>
      </c>
      <c r="G33" s="39" t="n">
        <f aca="false">D33+E33+F33</f>
        <v>5.96714820276558</v>
      </c>
      <c r="H33" s="39" t="n">
        <f aca="false">H32+G33</f>
        <v>92.601060218856</v>
      </c>
    </row>
    <row r="34" customFormat="false" ht="15" hidden="false" customHeight="false" outlineLevel="0" collapsed="false">
      <c r="A34" s="53" t="n">
        <v>21</v>
      </c>
      <c r="B34" s="54" t="n">
        <f aca="false">IF(A34&lt;=Assumptions!$C$9,(1-Assumptions!$C$15)^(A34-1),0)</f>
        <v>0.904610480274618</v>
      </c>
      <c r="C34" s="39" t="n">
        <f aca="false">$B$7*B34</f>
        <v>26.8621368286107</v>
      </c>
      <c r="D34" s="39" t="n">
        <f aca="false">C34*$B$8/10</f>
        <v>6.98415557543878</v>
      </c>
      <c r="E34" s="39" t="n">
        <f aca="false">IF(A34&lt;=Assumptions!$C$9,-$B$9*(1+Assumptions!$C$24)^(A34-1),0)</f>
        <v>-1.08366674080165</v>
      </c>
      <c r="F34" s="39" t="n">
        <v>0</v>
      </c>
      <c r="G34" s="39" t="n">
        <f aca="false">D34+E34+F34</f>
        <v>5.90048883463713</v>
      </c>
      <c r="H34" s="39" t="n">
        <f aca="false">H33+G34</f>
        <v>98.5015490534931</v>
      </c>
    </row>
    <row r="35" customFormat="false" ht="15" hidden="false" customHeight="false" outlineLevel="0" collapsed="false">
      <c r="A35" s="53" t="n">
        <v>22</v>
      </c>
      <c r="B35" s="54" t="n">
        <f aca="false">IF(A35&lt;=Assumptions!$C$9,(1-Assumptions!$C$15)^(A35-1),0)</f>
        <v>0.900087427873245</v>
      </c>
      <c r="C35" s="39" t="n">
        <f aca="false">$B$7*B35</f>
        <v>26.7278261444676</v>
      </c>
      <c r="D35" s="39" t="n">
        <f aca="false">C35*$B$8/10</f>
        <v>6.94923479756159</v>
      </c>
      <c r="E35" s="39" t="n">
        <f aca="false">IF(A35&lt;=Assumptions!$C$9,-$B$9*(1+Assumptions!$C$24)^(A35-1),0)</f>
        <v>-1.1161767430257</v>
      </c>
      <c r="F35" s="39" t="n">
        <v>0</v>
      </c>
      <c r="G35" s="39" t="n">
        <f aca="false">D35+E35+F35</f>
        <v>5.83305805453589</v>
      </c>
      <c r="H35" s="39" t="n">
        <f aca="false">H34+G35</f>
        <v>104.334607108029</v>
      </c>
    </row>
    <row r="36" customFormat="false" ht="15" hidden="false" customHeight="false" outlineLevel="0" collapsed="false">
      <c r="A36" s="53" t="n">
        <v>23</v>
      </c>
      <c r="B36" s="54" t="n">
        <f aca="false">IF(A36&lt;=Assumptions!$C$9,(1-Assumptions!$C$15)^(A36-1),0)</f>
        <v>0.895586990733878</v>
      </c>
      <c r="C36" s="39" t="n">
        <f aca="false">$B$7*B36</f>
        <v>26.5941870137453</v>
      </c>
      <c r="D36" s="39" t="n">
        <f aca="false">C36*$B$8/10</f>
        <v>6.91448862357378</v>
      </c>
      <c r="E36" s="39" t="n">
        <f aca="false">IF(A36&lt;=Assumptions!$C$9,-$B$9*(1+Assumptions!$C$24)^(A36-1),0)</f>
        <v>-1.14966204531647</v>
      </c>
      <c r="F36" s="39" t="n">
        <v>0</v>
      </c>
      <c r="G36" s="39" t="n">
        <f aca="false">D36+E36+F36</f>
        <v>5.76482657825731</v>
      </c>
      <c r="H36" s="39" t="n">
        <f aca="false">H35+G36</f>
        <v>110.099433686286</v>
      </c>
    </row>
    <row r="37" customFormat="false" ht="15" hidden="false" customHeight="false" outlineLevel="0" collapsed="false">
      <c r="A37" s="53" t="n">
        <v>24</v>
      </c>
      <c r="B37" s="54" t="n">
        <f aca="false">IF(A37&lt;=Assumptions!$C$9,(1-Assumptions!$C$15)^(A37-1),0)</f>
        <v>0.891109055780209</v>
      </c>
      <c r="C37" s="39" t="n">
        <f aca="false">$B$7*B37</f>
        <v>26.4612160786766</v>
      </c>
      <c r="D37" s="39" t="n">
        <f aca="false">C37*$B$8/10</f>
        <v>6.87991618045591</v>
      </c>
      <c r="E37" s="39" t="n">
        <f aca="false">IF(A37&lt;=Assumptions!$C$9,-$B$9*(1+Assumptions!$C$24)^(A37-1),0)</f>
        <v>-1.18415190667596</v>
      </c>
      <c r="F37" s="39" t="n">
        <v>0</v>
      </c>
      <c r="G37" s="39" t="n">
        <f aca="false">D37+E37+F37</f>
        <v>5.69576427377995</v>
      </c>
      <c r="H37" s="39" t="n">
        <f aca="false">H36+G37</f>
        <v>115.795197960066</v>
      </c>
    </row>
    <row r="38" customFormat="false" ht="15" hidden="false" customHeight="false" outlineLevel="0" collapsed="false">
      <c r="A38" s="53" t="n">
        <v>25</v>
      </c>
      <c r="B38" s="54" t="n">
        <f aca="false">IF(A38&lt;=Assumptions!$C$9,(1-Assumptions!$C$15)^(A38-1),0)</f>
        <v>0.886653510501308</v>
      </c>
      <c r="C38" s="39" t="n">
        <f aca="false">$B$7*B38</f>
        <v>26.3289099982832</v>
      </c>
      <c r="D38" s="39" t="n">
        <f aca="false">C38*$B$8/10</f>
        <v>6.84551659955363</v>
      </c>
      <c r="E38" s="39" t="n">
        <f aca="false">IF(A38&lt;=Assumptions!$C$9,-$B$9*(1+Assumptions!$C$24)^(A38-1),0)</f>
        <v>-1.21967646387624</v>
      </c>
      <c r="F38" s="39" t="n">
        <v>0</v>
      </c>
      <c r="G38" s="39" t="n">
        <f aca="false">D38+E38+F38</f>
        <v>5.62584013567739</v>
      </c>
      <c r="H38" s="39" t="n">
        <f aca="false">H37+G38</f>
        <v>121.421038095744</v>
      </c>
    </row>
    <row r="39" customFormat="false" ht="15" hidden="false" customHeight="false" outlineLevel="0" collapsed="false">
      <c r="A39" s="36" t="s">
        <v>333</v>
      </c>
      <c r="C39" s="37" t="n">
        <f aca="false">SUM(C13:C38)</f>
        <v>699.486910341646</v>
      </c>
      <c r="D39" s="37" t="n">
        <f aca="false">SUM(D13:D38)</f>
        <v>181.866596688828</v>
      </c>
      <c r="E39" s="37" t="n">
        <f aca="false">SUM(E13:E38)</f>
        <v>-21.8755585930843</v>
      </c>
      <c r="F39" s="37" t="n">
        <f aca="false">SUM(F13:F38)</f>
        <v>-38.57</v>
      </c>
      <c r="G39" s="37" t="n">
        <f aca="false">SUM(G13:G38)</f>
        <v>121.421038095744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P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5" topLeftCell="B16" activePane="bottomRight" state="frozen"/>
      <selection pane="topLeft" activeCell="A1" activeCellId="0" sqref="A1"/>
      <selection pane="topRight" activeCell="B1" activeCellId="0" sqref="B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6" min="2" style="0" width="12"/>
  </cols>
  <sheetData>
    <row r="1" customFormat="false" ht="17.35" hidden="false" customHeight="false" outlineLevel="0" collapsed="false">
      <c r="A1" s="1" t="s">
        <v>334</v>
      </c>
    </row>
    <row r="2" customFormat="false" ht="15" hidden="false" customHeight="false" outlineLevel="0" collapsed="false">
      <c r="A2" s="2" t="s">
        <v>335</v>
      </c>
    </row>
    <row r="4" customFormat="false" ht="15" hidden="false" customHeight="false" outlineLevel="0" collapsed="false">
      <c r="A4" s="13" t="s">
        <v>336</v>
      </c>
      <c r="B4" s="43" t="n">
        <f aca="false">(Assumptions!$C$20+Assumptions!$C$21)*Assumptions!$C$6/10</f>
        <v>350</v>
      </c>
    </row>
    <row r="5" customFormat="false" ht="15" hidden="false" customHeight="false" outlineLevel="0" collapsed="false">
      <c r="A5" s="13" t="s">
        <v>337</v>
      </c>
      <c r="B5" s="43" t="n">
        <f aca="false">(Assumptions!$C$20+Quote_Calculator!$D$22)*Assumptions!$C$6/10</f>
        <v>388.57</v>
      </c>
    </row>
    <row r="6" customFormat="false" ht="15" hidden="false" customHeight="false" outlineLevel="0" collapsed="false">
      <c r="A6" s="13" t="s">
        <v>338</v>
      </c>
      <c r="B6" s="43" t="n">
        <f aca="false">Energy!$B$24</f>
        <v>174.714</v>
      </c>
    </row>
    <row r="7" customFormat="false" ht="15" hidden="false" customHeight="false" outlineLevel="0" collapsed="false">
      <c r="A7" s="13" t="s">
        <v>339</v>
      </c>
      <c r="B7" s="43" t="n">
        <f aca="false">Energy!$B$25</f>
        <v>204.4087</v>
      </c>
    </row>
    <row r="8" customFormat="false" ht="15" hidden="false" customHeight="false" outlineLevel="0" collapsed="false">
      <c r="A8" s="13" t="s">
        <v>340</v>
      </c>
      <c r="B8" s="43" t="n">
        <f aca="false">Assumptions!$C$22*Assumptions!$C$6/100</f>
        <v>4</v>
      </c>
    </row>
    <row r="9" customFormat="false" ht="15" hidden="false" customHeight="false" outlineLevel="0" collapsed="false">
      <c r="A9" s="13" t="s">
        <v>341</v>
      </c>
      <c r="B9" s="43" t="n">
        <f aca="false">(Assumptions!$C$22+Assumptions!$C$23)*Assumptions!$C$6/100</f>
        <v>4.6</v>
      </c>
    </row>
    <row r="10" customFormat="false" ht="15" hidden="false" customHeight="false" outlineLevel="0" collapsed="false">
      <c r="A10" s="13" t="s">
        <v>342</v>
      </c>
      <c r="B10" s="43" t="n">
        <f aca="false">B4*Assumptions!$C$26</f>
        <v>262.5</v>
      </c>
    </row>
    <row r="11" customFormat="false" ht="15" hidden="false" customHeight="false" outlineLevel="0" collapsed="false">
      <c r="A11" s="13" t="s">
        <v>343</v>
      </c>
      <c r="B11" s="43" t="n">
        <f aca="false">B5*Assumptions!$C$26</f>
        <v>291.4275</v>
      </c>
    </row>
    <row r="12" customFormat="false" ht="15" hidden="false" customHeight="false" outlineLevel="0" collapsed="false">
      <c r="A12" s="13" t="s">
        <v>344</v>
      </c>
      <c r="B12" s="43" t="n">
        <f aca="false">PMT(Assumptions!$C$27,Assumptions!$C$28,-B10)</f>
        <v>33.0475844703595</v>
      </c>
    </row>
    <row r="13" customFormat="false" ht="15" hidden="false" customHeight="false" outlineLevel="0" collapsed="false">
      <c r="A13" s="13" t="s">
        <v>345</v>
      </c>
      <c r="B13" s="43" t="n">
        <f aca="false">PMT(Assumptions!$C$27,Assumptions!$C$28,-B11)</f>
        <v>36.6894282789931</v>
      </c>
    </row>
    <row r="15" customFormat="false" ht="39.55" hidden="false" customHeight="false" outlineLevel="0" collapsed="false">
      <c r="A15" s="10" t="s">
        <v>319</v>
      </c>
      <c r="B15" s="10" t="s">
        <v>346</v>
      </c>
      <c r="C15" s="10" t="s">
        <v>347</v>
      </c>
      <c r="D15" s="10" t="s">
        <v>348</v>
      </c>
      <c r="E15" s="10" t="s">
        <v>349</v>
      </c>
      <c r="F15" s="10" t="s">
        <v>350</v>
      </c>
      <c r="G15" s="10" t="s">
        <v>351</v>
      </c>
      <c r="H15" s="10" t="s">
        <v>352</v>
      </c>
      <c r="I15" s="10" t="s">
        <v>353</v>
      </c>
      <c r="J15" s="10" t="s">
        <v>354</v>
      </c>
      <c r="K15" s="10" t="s">
        <v>355</v>
      </c>
      <c r="L15" s="10" t="s">
        <v>356</v>
      </c>
      <c r="M15" s="10" t="s">
        <v>357</v>
      </c>
      <c r="N15" s="10" t="s">
        <v>358</v>
      </c>
      <c r="O15" s="10" t="s">
        <v>359</v>
      </c>
      <c r="P15" s="10" t="s">
        <v>360</v>
      </c>
    </row>
    <row r="16" customFormat="false" ht="15" hidden="false" customHeight="false" outlineLevel="0" collapsed="false">
      <c r="A16" s="53" t="n">
        <v>0</v>
      </c>
      <c r="E16" s="39" t="n">
        <f aca="false">-B4</f>
        <v>-350</v>
      </c>
      <c r="G16" s="39" t="n">
        <f aca="false">-B4*(1-Assumptions!$C$26)</f>
        <v>-87.5</v>
      </c>
      <c r="L16" s="39" t="n">
        <f aca="false">-B5</f>
        <v>-388.57</v>
      </c>
      <c r="N16" s="39" t="n">
        <f aca="false">-B5*(1-Assumptions!$C$26)</f>
        <v>-97.1425</v>
      </c>
      <c r="P16" s="54" t="n">
        <v>1</v>
      </c>
    </row>
    <row r="17" customFormat="false" ht="15" hidden="false" customHeight="false" outlineLevel="0" collapsed="false">
      <c r="A17" s="53" t="n">
        <v>1</v>
      </c>
      <c r="B17" s="39" t="n">
        <f aca="false">$B$6*(1-Assumptions!$C$15)^(A17-1)</f>
        <v>174.714</v>
      </c>
      <c r="C17" s="39" t="n">
        <f aca="false">B17*Assumptions!$C$18/10</f>
        <v>45.42564</v>
      </c>
      <c r="D17" s="39" t="n">
        <f aca="false">-$B$8*(1+Assumptions!$C$24)^(A17-1)</f>
        <v>-4</v>
      </c>
      <c r="E17" s="39" t="n">
        <f aca="false">C17+D17</f>
        <v>41.42564</v>
      </c>
      <c r="F17" s="39" t="n">
        <f aca="false">IF(A17&lt;=Assumptions!$C$28,-$B$12,0)</f>
        <v>-33.0475844703595</v>
      </c>
      <c r="G17" s="39" t="n">
        <f aca="false">E17+F17</f>
        <v>8.37805552964051</v>
      </c>
      <c r="H17" s="56" t="n">
        <f aca="false">IF(F17&lt;0,E17/-F17,"")</f>
        <v>1.25351491384052</v>
      </c>
      <c r="I17" s="39" t="n">
        <f aca="false">$B$7*(1-Assumptions!$C$15)^(A17-1)</f>
        <v>204.4087</v>
      </c>
      <c r="J17" s="39" t="n">
        <f aca="false">I17*Assumptions!$C$18/10</f>
        <v>53.146262</v>
      </c>
      <c r="K17" s="39" t="n">
        <f aca="false">-$B$9*(1+Assumptions!$C$24)^(A17-1)</f>
        <v>-4.6</v>
      </c>
      <c r="L17" s="39" t="n">
        <f aca="false">J17+K17</f>
        <v>48.546262</v>
      </c>
      <c r="M17" s="39" t="n">
        <f aca="false">IF(A17&lt;=Assumptions!$C$28,-$B$13,0)</f>
        <v>-36.6894282789931</v>
      </c>
      <c r="N17" s="39" t="n">
        <f aca="false">L17+M17</f>
        <v>11.8568337210069</v>
      </c>
      <c r="O17" s="56" t="n">
        <f aca="false">IF(M17&lt;0,L17/-M17,"")</f>
        <v>1.3231675792505</v>
      </c>
      <c r="P17" s="54" t="n">
        <f aca="false">1/(1+Assumptions!$C$25)^A17</f>
        <v>0.91743119266055</v>
      </c>
    </row>
    <row r="18" customFormat="false" ht="15" hidden="false" customHeight="false" outlineLevel="0" collapsed="false">
      <c r="A18" s="53" t="n">
        <v>2</v>
      </c>
      <c r="B18" s="39" t="n">
        <f aca="false">$B$6*(1-Assumptions!$C$15)^(A18-1)</f>
        <v>173.84043</v>
      </c>
      <c r="C18" s="39" t="n">
        <f aca="false">B18*Assumptions!$C$18/10</f>
        <v>45.1985118</v>
      </c>
      <c r="D18" s="39" t="n">
        <f aca="false">-$B$8*(1+Assumptions!$C$24)^(A18-1)</f>
        <v>-4.12</v>
      </c>
      <c r="E18" s="39" t="n">
        <f aca="false">C18+D18</f>
        <v>41.0785118</v>
      </c>
      <c r="F18" s="39" t="n">
        <f aca="false">IF(A18&lt;=Assumptions!$C$28,-$B$12,0)</f>
        <v>-33.0475844703595</v>
      </c>
      <c r="G18" s="39" t="n">
        <f aca="false">E18+F18</f>
        <v>8.03092732964051</v>
      </c>
      <c r="H18" s="56" t="n">
        <f aca="false">IF(F18&lt;0,E18/-F18,"")</f>
        <v>1.24301102359973</v>
      </c>
      <c r="I18" s="39" t="n">
        <f aca="false">$B$7*(1-Assumptions!$C$15)^(A18-1)</f>
        <v>203.3866565</v>
      </c>
      <c r="J18" s="39" t="n">
        <f aca="false">I18*Assumptions!$C$18/10</f>
        <v>52.88053069</v>
      </c>
      <c r="K18" s="39" t="n">
        <f aca="false">-$B$9*(1+Assumptions!$C$24)^(A18-1)</f>
        <v>-4.738</v>
      </c>
      <c r="L18" s="39" t="n">
        <f aca="false">J18+K18</f>
        <v>48.14253069</v>
      </c>
      <c r="M18" s="39" t="n">
        <f aca="false">IF(A18&lt;=Assumptions!$C$28,-$B$13,0)</f>
        <v>-36.6894282789931</v>
      </c>
      <c r="N18" s="39" t="n">
        <f aca="false">L18+M18</f>
        <v>11.4531024110069</v>
      </c>
      <c r="O18" s="56" t="n">
        <f aca="false">IF(M18&lt;0,L18/-M18,"")</f>
        <v>1.31216355632242</v>
      </c>
      <c r="P18" s="54" t="n">
        <f aca="false">1/(1+Assumptions!$C$25)^A18</f>
        <v>0.84167999326656</v>
      </c>
    </row>
    <row r="19" customFormat="false" ht="15" hidden="false" customHeight="false" outlineLevel="0" collapsed="false">
      <c r="A19" s="53" t="n">
        <v>3</v>
      </c>
      <c r="B19" s="39" t="n">
        <f aca="false">$B$6*(1-Assumptions!$C$15)^(A19-1)</f>
        <v>172.97122785</v>
      </c>
      <c r="C19" s="39" t="n">
        <f aca="false">B19*Assumptions!$C$18/10</f>
        <v>44.972519241</v>
      </c>
      <c r="D19" s="39" t="n">
        <f aca="false">-$B$8*(1+Assumptions!$C$24)^(A19-1)</f>
        <v>-4.2436</v>
      </c>
      <c r="E19" s="39" t="n">
        <f aca="false">C19+D19</f>
        <v>40.728919241</v>
      </c>
      <c r="F19" s="39" t="n">
        <f aca="false">IF(A19&lt;=Assumptions!$C$28,-$B$12,0)</f>
        <v>-33.0475844703595</v>
      </c>
      <c r="G19" s="39" t="n">
        <f aca="false">E19+F19</f>
        <v>7.68133477064052</v>
      </c>
      <c r="H19" s="56" t="n">
        <f aca="false">IF(F19&lt;0,E19/-F19,"")</f>
        <v>1.23243256333999</v>
      </c>
      <c r="I19" s="39" t="n">
        <f aca="false">$B$7*(1-Assumptions!$C$15)^(A19-1)</f>
        <v>202.3697232175</v>
      </c>
      <c r="J19" s="39" t="n">
        <f aca="false">I19*Assumptions!$C$18/10</f>
        <v>52.61612803655</v>
      </c>
      <c r="K19" s="39" t="n">
        <f aca="false">-$B$9*(1+Assumptions!$C$24)^(A19-1)</f>
        <v>-4.88014</v>
      </c>
      <c r="L19" s="39" t="n">
        <f aca="false">J19+K19</f>
        <v>47.73598803655</v>
      </c>
      <c r="M19" s="39" t="n">
        <f aca="false">IF(A19&lt;=Assumptions!$C$28,-$B$13,0)</f>
        <v>-36.6894282789931</v>
      </c>
      <c r="N19" s="39" t="n">
        <f aca="false">L19+M19</f>
        <v>11.0465597575569</v>
      </c>
      <c r="O19" s="56" t="n">
        <f aca="false">IF(M19&lt;0,L19/-M19,"")</f>
        <v>1.30108290795803</v>
      </c>
      <c r="P19" s="54" t="n">
        <f aca="false">1/(1+Assumptions!$C$25)^A19</f>
        <v>0.772183480061064</v>
      </c>
    </row>
    <row r="20" customFormat="false" ht="15" hidden="false" customHeight="false" outlineLevel="0" collapsed="false">
      <c r="A20" s="53" t="n">
        <v>4</v>
      </c>
      <c r="B20" s="39" t="n">
        <f aca="false">$B$6*(1-Assumptions!$C$15)^(A20-1)</f>
        <v>172.10637171075</v>
      </c>
      <c r="C20" s="39" t="n">
        <f aca="false">B20*Assumptions!$C$18/10</f>
        <v>44.747656644795</v>
      </c>
      <c r="D20" s="39" t="n">
        <f aca="false">-$B$8*(1+Assumptions!$C$24)^(A20-1)</f>
        <v>-4.370908</v>
      </c>
      <c r="E20" s="39" t="n">
        <f aca="false">C20+D20</f>
        <v>40.376748644795</v>
      </c>
      <c r="F20" s="39" t="n">
        <f aca="false">IF(A20&lt;=Assumptions!$C$28,-$B$12,0)</f>
        <v>-33.0475844703595</v>
      </c>
      <c r="G20" s="39" t="n">
        <f aca="false">E20+F20</f>
        <v>7.32916417443552</v>
      </c>
      <c r="H20" s="56" t="n">
        <f aca="false">IF(F20&lt;0,E20/-F20,"")</f>
        <v>1.2217760932273</v>
      </c>
      <c r="I20" s="39" t="n">
        <f aca="false">$B$7*(1-Assumptions!$C$15)^(A20-1)</f>
        <v>201.357874601413</v>
      </c>
      <c r="J20" s="39" t="n">
        <f aca="false">I20*Assumptions!$C$18/10</f>
        <v>52.3530473963673</v>
      </c>
      <c r="K20" s="39" t="n">
        <f aca="false">-$B$9*(1+Assumptions!$C$24)^(A20-1)</f>
        <v>-5.0265442</v>
      </c>
      <c r="L20" s="39" t="n">
        <f aca="false">J20+K20</f>
        <v>47.3265031963673</v>
      </c>
      <c r="M20" s="39" t="n">
        <f aca="false">IF(A20&lt;=Assumptions!$C$28,-$B$13,0)</f>
        <v>-36.6894282789931</v>
      </c>
      <c r="N20" s="39" t="n">
        <f aca="false">L20+M20</f>
        <v>10.6370749173742</v>
      </c>
      <c r="O20" s="56" t="n">
        <f aca="false">IF(M20&lt;0,L20/-M20,"")</f>
        <v>1.28992206791798</v>
      </c>
      <c r="P20" s="54" t="n">
        <f aca="false">1/(1+Assumptions!$C$25)^A20</f>
        <v>0.708425211065196</v>
      </c>
    </row>
    <row r="21" customFormat="false" ht="15" hidden="false" customHeight="false" outlineLevel="0" collapsed="false">
      <c r="A21" s="53" t="n">
        <v>5</v>
      </c>
      <c r="B21" s="39" t="n">
        <f aca="false">$B$6*(1-Assumptions!$C$15)^(A21-1)</f>
        <v>171.245839852196</v>
      </c>
      <c r="C21" s="39" t="n">
        <f aca="false">B21*Assumptions!$C$18/10</f>
        <v>44.523918361571</v>
      </c>
      <c r="D21" s="39" t="n">
        <f aca="false">-$B$8*(1+Assumptions!$C$24)^(A21-1)</f>
        <v>-4.50203524</v>
      </c>
      <c r="E21" s="39" t="n">
        <f aca="false">C21+D21</f>
        <v>40.021883121571</v>
      </c>
      <c r="F21" s="39" t="n">
        <f aca="false">IF(A21&lt;=Assumptions!$C$28,-$B$12,0)</f>
        <v>-33.0475844703595</v>
      </c>
      <c r="G21" s="39" t="n">
        <f aca="false">E21+F21</f>
        <v>6.97429865121154</v>
      </c>
      <c r="H21" s="56" t="n">
        <f aca="false">IF(F21&lt;0,E21/-F21,"")</f>
        <v>1.21103807624629</v>
      </c>
      <c r="I21" s="39" t="n">
        <f aca="false">$B$7*(1-Assumptions!$C$15)^(A21-1)</f>
        <v>200.351085228405</v>
      </c>
      <c r="J21" s="39" t="n">
        <f aca="false">I21*Assumptions!$C$18/10</f>
        <v>52.0912821593854</v>
      </c>
      <c r="K21" s="39" t="n">
        <f aca="false">-$B$9*(1+Assumptions!$C$24)^(A21-1)</f>
        <v>-5.177340526</v>
      </c>
      <c r="L21" s="39" t="n">
        <f aca="false">J21+K21</f>
        <v>46.9139416333854</v>
      </c>
      <c r="M21" s="39" t="n">
        <f aca="false">IF(A21&lt;=Assumptions!$C$28,-$B$13,0)</f>
        <v>-36.6894282789931</v>
      </c>
      <c r="N21" s="39" t="n">
        <f aca="false">L21+M21</f>
        <v>10.2245133543923</v>
      </c>
      <c r="O21" s="56" t="n">
        <f aca="false">IF(M21&lt;0,L21/-M21,"")</f>
        <v>1.27867736931312</v>
      </c>
      <c r="P21" s="54" t="n">
        <f aca="false">1/(1+Assumptions!$C$25)^A21</f>
        <v>0.649931386298345</v>
      </c>
    </row>
    <row r="22" customFormat="false" ht="15" hidden="false" customHeight="false" outlineLevel="0" collapsed="false">
      <c r="A22" s="53" t="n">
        <v>6</v>
      </c>
      <c r="B22" s="39" t="n">
        <f aca="false">$B$6*(1-Assumptions!$C$15)^(A22-1)</f>
        <v>170.389610652935</v>
      </c>
      <c r="C22" s="39" t="n">
        <f aca="false">B22*Assumptions!$C$18/10</f>
        <v>44.3012987697632</v>
      </c>
      <c r="D22" s="39" t="n">
        <f aca="false">-$B$8*(1+Assumptions!$C$24)^(A22-1)</f>
        <v>-4.6370962972</v>
      </c>
      <c r="E22" s="39" t="n">
        <f aca="false">C22+D22</f>
        <v>39.6642024725632</v>
      </c>
      <c r="F22" s="39" t="n">
        <f aca="false">IF(A22&lt;=Assumptions!$C$28,-$B$12,0)</f>
        <v>-33.0475844703595</v>
      </c>
      <c r="G22" s="39" t="n">
        <f aca="false">E22+F22</f>
        <v>6.61661800220367</v>
      </c>
      <c r="H22" s="56" t="n">
        <f aca="false">IF(F22&lt;0,E22/-F22,"")</f>
        <v>1.20021487525475</v>
      </c>
      <c r="I22" s="39" t="n">
        <f aca="false">$B$7*(1-Assumptions!$C$15)^(A22-1)</f>
        <v>199.349329802263</v>
      </c>
      <c r="J22" s="39" t="n">
        <f aca="false">I22*Assumptions!$C$18/10</f>
        <v>51.8308257485885</v>
      </c>
      <c r="K22" s="39" t="n">
        <f aca="false">-$B$9*(1+Assumptions!$C$24)^(A22-1)</f>
        <v>-5.33266074178</v>
      </c>
      <c r="L22" s="39" t="n">
        <f aca="false">J22+K22</f>
        <v>46.4981650068085</v>
      </c>
      <c r="M22" s="39" t="n">
        <f aca="false">IF(A22&lt;=Assumptions!$C$28,-$B$13,0)</f>
        <v>-36.6894282789931</v>
      </c>
      <c r="N22" s="39" t="n">
        <f aca="false">L22+M22</f>
        <v>9.80873672781538</v>
      </c>
      <c r="O22" s="56" t="n">
        <f aca="false">IF(M22&lt;0,L22/-M22,"")</f>
        <v>1.26734504155333</v>
      </c>
      <c r="P22" s="54" t="n">
        <f aca="false">1/(1+Assumptions!$C$25)^A22</f>
        <v>0.596267326879216</v>
      </c>
    </row>
    <row r="23" customFormat="false" ht="15" hidden="false" customHeight="false" outlineLevel="0" collapsed="false">
      <c r="A23" s="53" t="n">
        <v>7</v>
      </c>
      <c r="B23" s="39" t="n">
        <f aca="false">$B$6*(1-Assumptions!$C$15)^(A23-1)</f>
        <v>169.537662599671</v>
      </c>
      <c r="C23" s="39" t="n">
        <f aca="false">B23*Assumptions!$C$18/10</f>
        <v>44.0797922759144</v>
      </c>
      <c r="D23" s="39" t="n">
        <f aca="false">-$B$8*(1+Assumptions!$C$24)^(A23-1)</f>
        <v>-4.776209186116</v>
      </c>
      <c r="E23" s="39" t="n">
        <f aca="false">C23+D23</f>
        <v>39.3035830897984</v>
      </c>
      <c r="F23" s="39" t="n">
        <f aca="false">IF(A23&lt;=Assumptions!$C$28,-$B$12,0)</f>
        <v>-33.0475844703595</v>
      </c>
      <c r="G23" s="39" t="n">
        <f aca="false">E23+F23</f>
        <v>6.25599861943887</v>
      </c>
      <c r="H23" s="56" t="n">
        <f aca="false">IF(F23&lt;0,E23/-F23,"")</f>
        <v>1.18930274994985</v>
      </c>
      <c r="I23" s="39" t="n">
        <f aca="false">$B$7*(1-Assumptions!$C$15)^(A23-1)</f>
        <v>198.352583153252</v>
      </c>
      <c r="J23" s="39" t="n">
        <f aca="false">I23*Assumptions!$C$18/10</f>
        <v>51.5716716198456</v>
      </c>
      <c r="K23" s="39" t="n">
        <f aca="false">-$B$9*(1+Assumptions!$C$24)^(A23-1)</f>
        <v>-5.4926405640334</v>
      </c>
      <c r="L23" s="39" t="n">
        <f aca="false">J23+K23</f>
        <v>46.0790310558122</v>
      </c>
      <c r="M23" s="39" t="n">
        <f aca="false">IF(A23&lt;=Assumptions!$C$28,-$B$13,0)</f>
        <v>-36.6894282789931</v>
      </c>
      <c r="N23" s="39" t="n">
        <f aca="false">L23+M23</f>
        <v>9.38960277681905</v>
      </c>
      <c r="O23" s="56" t="n">
        <f aca="false">IF(M23&lt;0,L23/-M23,"")</f>
        <v>1.25592120720494</v>
      </c>
      <c r="P23" s="54" t="n">
        <f aca="false">1/(1+Assumptions!$C$25)^A23</f>
        <v>0.547034244843317</v>
      </c>
    </row>
    <row r="24" customFormat="false" ht="15" hidden="false" customHeight="false" outlineLevel="0" collapsed="false">
      <c r="A24" s="53" t="n">
        <v>8</v>
      </c>
      <c r="B24" s="39" t="n">
        <f aca="false">$B$6*(1-Assumptions!$C$15)^(A24-1)</f>
        <v>168.689974286672</v>
      </c>
      <c r="C24" s="39" t="n">
        <f aca="false">B24*Assumptions!$C$18/10</f>
        <v>43.8593933145348</v>
      </c>
      <c r="D24" s="39" t="n">
        <f aca="false">-$B$8*(1+Assumptions!$C$24)^(A24-1)</f>
        <v>-4.91949546169948</v>
      </c>
      <c r="E24" s="39" t="n">
        <f aca="false">C24+D24</f>
        <v>38.9398978528353</v>
      </c>
      <c r="F24" s="39" t="n">
        <f aca="false">IF(A24&lt;=Assumptions!$C$28,-$B$12,0)</f>
        <v>-33.0475844703595</v>
      </c>
      <c r="G24" s="39" t="n">
        <f aca="false">E24+F24</f>
        <v>5.89231338247581</v>
      </c>
      <c r="H24" s="56" t="n">
        <f aca="false">IF(F24&lt;0,E24/-F24,"")</f>
        <v>1.17829785374361</v>
      </c>
      <c r="I24" s="39" t="n">
        <f aca="false">$B$7*(1-Assumptions!$C$15)^(A24-1)</f>
        <v>197.360820237486</v>
      </c>
      <c r="J24" s="39" t="n">
        <f aca="false">I24*Assumptions!$C$18/10</f>
        <v>51.3138132617463</v>
      </c>
      <c r="K24" s="39" t="n">
        <f aca="false">-$B$9*(1+Assumptions!$C$24)^(A24-1)</f>
        <v>-5.6574197809544</v>
      </c>
      <c r="L24" s="39" t="n">
        <f aca="false">J24+K24</f>
        <v>45.6563934807919</v>
      </c>
      <c r="M24" s="39" t="n">
        <f aca="false">IF(A24&lt;=Assumptions!$C$28,-$B$13,0)</f>
        <v>-36.6894282789931</v>
      </c>
      <c r="N24" s="39" t="n">
        <f aca="false">L24+M24</f>
        <v>8.96696520179882</v>
      </c>
      <c r="O24" s="56" t="n">
        <f aca="false">IF(M24&lt;0,L24/-M24,"")</f>
        <v>1.24440187875408</v>
      </c>
      <c r="P24" s="54" t="n">
        <f aca="false">1/(1+Assumptions!$C$25)^A24</f>
        <v>0.501866279672768</v>
      </c>
    </row>
    <row r="25" customFormat="false" ht="15" hidden="false" customHeight="false" outlineLevel="0" collapsed="false">
      <c r="A25" s="53" t="n">
        <v>9</v>
      </c>
      <c r="B25" s="39" t="n">
        <f aca="false">$B$6*(1-Assumptions!$C$15)^(A25-1)</f>
        <v>167.846524415239</v>
      </c>
      <c r="C25" s="39" t="n">
        <f aca="false">B25*Assumptions!$C$18/10</f>
        <v>43.6400963479621</v>
      </c>
      <c r="D25" s="39" t="n">
        <f aca="false">-$B$8*(1+Assumptions!$C$24)^(A25-1)</f>
        <v>-5.06708032555047</v>
      </c>
      <c r="E25" s="39" t="n">
        <f aca="false">C25+D25</f>
        <v>38.5730160224116</v>
      </c>
      <c r="F25" s="39" t="n">
        <f aca="false">IF(A25&lt;=Assumptions!$C$28,-$B$12,0)</f>
        <v>-33.0475844703595</v>
      </c>
      <c r="G25" s="39" t="n">
        <f aca="false">E25+F25</f>
        <v>5.52543155205215</v>
      </c>
      <c r="H25" s="56" t="n">
        <f aca="false">IF(F25&lt;0,E25/-F25,"")</f>
        <v>1.16719623054471</v>
      </c>
      <c r="I25" s="39" t="n">
        <f aca="false">$B$7*(1-Assumptions!$C$15)^(A25-1)</f>
        <v>196.374016136298</v>
      </c>
      <c r="J25" s="39" t="n">
        <f aca="false">I25*Assumptions!$C$18/10</f>
        <v>51.0572441954376</v>
      </c>
      <c r="K25" s="39" t="n">
        <f aca="false">-$B$9*(1+Assumptions!$C$24)^(A25-1)</f>
        <v>-5.82714237438304</v>
      </c>
      <c r="L25" s="39" t="n">
        <f aca="false">J25+K25</f>
        <v>45.2301018210546</v>
      </c>
      <c r="M25" s="39" t="n">
        <f aca="false">IF(A25&lt;=Assumptions!$C$28,-$B$13,0)</f>
        <v>-36.6894282789931</v>
      </c>
      <c r="N25" s="39" t="n">
        <f aca="false">L25+M25</f>
        <v>8.54067354206145</v>
      </c>
      <c r="O25" s="56" t="n">
        <f aca="false">IF(M25&lt;0,L25/-M25,"")</f>
        <v>1.23278295527302</v>
      </c>
      <c r="P25" s="54" t="n">
        <f aca="false">1/(1+Assumptions!$C$25)^A25</f>
        <v>0.460427779516301</v>
      </c>
    </row>
    <row r="26" customFormat="false" ht="15" hidden="false" customHeight="false" outlineLevel="0" collapsed="false">
      <c r="A26" s="53" t="n">
        <v>10</v>
      </c>
      <c r="B26" s="39" t="n">
        <f aca="false">$B$6*(1-Assumptions!$C$15)^(A26-1)</f>
        <v>167.007291793163</v>
      </c>
      <c r="C26" s="39" t="n">
        <f aca="false">B26*Assumptions!$C$18/10</f>
        <v>43.4218958662223</v>
      </c>
      <c r="D26" s="39" t="n">
        <f aca="false">-$B$8*(1+Assumptions!$C$24)^(A26-1)</f>
        <v>-5.21909273531698</v>
      </c>
      <c r="E26" s="39" t="n">
        <f aca="false">C26+D26</f>
        <v>38.2028031309053</v>
      </c>
      <c r="F26" s="39" t="n">
        <f aca="false">IF(A26&lt;=Assumptions!$C$28,-$B$12,0)</f>
        <v>-33.0475844703595</v>
      </c>
      <c r="G26" s="39" t="n">
        <f aca="false">E26+F26</f>
        <v>5.15521866054583</v>
      </c>
      <c r="H26" s="56" t="n">
        <f aca="false">IF(F26&lt;0,E26/-F26,"")</f>
        <v>1.15599381144391</v>
      </c>
      <c r="I26" s="39" t="n">
        <f aca="false">$B$7*(1-Assumptions!$C$15)^(A26-1)</f>
        <v>195.392146055617</v>
      </c>
      <c r="J26" s="39" t="n">
        <f aca="false">I26*Assumptions!$C$18/10</f>
        <v>50.8019579744604</v>
      </c>
      <c r="K26" s="39" t="n">
        <f aca="false">-$B$9*(1+Assumptions!$C$24)^(A26-1)</f>
        <v>-6.00195664561453</v>
      </c>
      <c r="L26" s="39" t="n">
        <f aca="false">J26+K26</f>
        <v>44.8000013288459</v>
      </c>
      <c r="M26" s="39" t="n">
        <f aca="false">IF(A26&lt;=Assumptions!$C$28,-$B$13,0)</f>
        <v>-36.6894282789931</v>
      </c>
      <c r="N26" s="39" t="n">
        <f aca="false">L26+M26</f>
        <v>8.11057304985277</v>
      </c>
      <c r="O26" s="56" t="n">
        <f aca="false">IF(M26&lt;0,L26/-M26,"")</f>
        <v>1.22106021898675</v>
      </c>
      <c r="P26" s="54" t="n">
        <f aca="false">1/(1+Assumptions!$C$25)^A26</f>
        <v>0.422410806895689</v>
      </c>
    </row>
    <row r="27" customFormat="false" ht="15" hidden="false" customHeight="false" outlineLevel="0" collapsed="false">
      <c r="A27" s="53" t="n">
        <v>11</v>
      </c>
      <c r="B27" s="39" t="n">
        <f aca="false">$B$6*(1-Assumptions!$C$15)^(A27-1)</f>
        <v>166.172255334197</v>
      </c>
      <c r="C27" s="39" t="n">
        <f aca="false">B27*Assumptions!$C$18/10</f>
        <v>43.2047863868912</v>
      </c>
      <c r="D27" s="39" t="n">
        <f aca="false">-$B$8*(1+Assumptions!$C$24)^(A27-1)</f>
        <v>-5.37566551737649</v>
      </c>
      <c r="E27" s="39" t="n">
        <f aca="false">C27+D27</f>
        <v>37.8291208695147</v>
      </c>
      <c r="F27" s="39" t="n">
        <f aca="false">IF(A27&lt;=Assumptions!$C$28,-$B$12,0)</f>
        <v>-33.0475844703595</v>
      </c>
      <c r="G27" s="39" t="n">
        <f aca="false">E27+F27</f>
        <v>4.78153639915522</v>
      </c>
      <c r="H27" s="56" t="n">
        <f aca="false">IF(F27&lt;0,E27/-F27,"")</f>
        <v>1.14468641130016</v>
      </c>
      <c r="I27" s="39" t="n">
        <f aca="false">$B$7*(1-Assumptions!$C$15)^(A27-1)</f>
        <v>194.415185325339</v>
      </c>
      <c r="J27" s="39" t="n">
        <f aca="false">I27*Assumptions!$C$18/10</f>
        <v>50.5479481845881</v>
      </c>
      <c r="K27" s="39" t="n">
        <f aca="false">-$B$9*(1+Assumptions!$C$24)^(A27-1)</f>
        <v>-6.18201534498296</v>
      </c>
      <c r="L27" s="39" t="n">
        <f aca="false">J27+K27</f>
        <v>44.3659328396051</v>
      </c>
      <c r="M27" s="39" t="n">
        <f aca="false">IF(A27&lt;=Assumptions!$C$28,-$B$13,0)</f>
        <v>-36.6894282789931</v>
      </c>
      <c r="N27" s="39" t="n">
        <f aca="false">L27+M27</f>
        <v>7.67650456061203</v>
      </c>
      <c r="O27" s="56" t="n">
        <f aca="false">IF(M27&lt;0,L27/-M27,"")</f>
        <v>1.20922933173661</v>
      </c>
      <c r="P27" s="54" t="n">
        <f aca="false">1/(1+Assumptions!$C$25)^A27</f>
        <v>0.387532850363017</v>
      </c>
    </row>
    <row r="28" customFormat="false" ht="15" hidden="false" customHeight="false" outlineLevel="0" collapsed="false">
      <c r="A28" s="53" t="n">
        <v>12</v>
      </c>
      <c r="B28" s="39" t="n">
        <f aca="false">$B$6*(1-Assumptions!$C$15)^(A28-1)</f>
        <v>165.341394057526</v>
      </c>
      <c r="C28" s="39" t="n">
        <f aca="false">B28*Assumptions!$C$18/10</f>
        <v>42.9887624549567</v>
      </c>
      <c r="D28" s="39" t="n">
        <f aca="false">-$B$8*(1+Assumptions!$C$24)^(A28-1)</f>
        <v>-5.53693548289778</v>
      </c>
      <c r="E28" s="39" t="n">
        <f aca="false">C28+D28</f>
        <v>37.4518269720589</v>
      </c>
      <c r="F28" s="39" t="n">
        <f aca="false">IF(A28&lt;=Assumptions!$C$28,-$B$12,0)</f>
        <v>-33.0475844703595</v>
      </c>
      <c r="G28" s="39" t="n">
        <f aca="false">E28+F28</f>
        <v>4.40424250169946</v>
      </c>
      <c r="H28" s="56" t="n">
        <f aca="false">IF(F28&lt;0,E28/-F28,"")</f>
        <v>1.13326972522454</v>
      </c>
      <c r="I28" s="39" t="n">
        <f aca="false">$B$7*(1-Assumptions!$C$15)^(A28-1)</f>
        <v>193.443109398712</v>
      </c>
      <c r="J28" s="39" t="n">
        <f aca="false">I28*Assumptions!$C$18/10</f>
        <v>50.2952084436652</v>
      </c>
      <c r="K28" s="39" t="n">
        <f aca="false">-$B$9*(1+Assumptions!$C$24)^(A28-1)</f>
        <v>-6.36747580533245</v>
      </c>
      <c r="L28" s="39" t="n">
        <f aca="false">J28+K28</f>
        <v>43.9277326383327</v>
      </c>
      <c r="M28" s="39" t="n">
        <f aca="false">IF(A28&lt;=Assumptions!$C$28,-$B$13,0)</f>
        <v>-36.6894282789931</v>
      </c>
      <c r="N28" s="39" t="n">
        <f aca="false">L28+M28</f>
        <v>7.2383043593396</v>
      </c>
      <c r="O28" s="56" t="n">
        <f aca="false">IF(M28&lt;0,L28/-M28,"")</f>
        <v>1.19728583133807</v>
      </c>
      <c r="P28" s="54" t="n">
        <f aca="false">1/(1+Assumptions!$C$25)^A28</f>
        <v>0.355534725103686</v>
      </c>
    </row>
    <row r="29" customFormat="false" ht="15" hidden="false" customHeight="false" outlineLevel="0" collapsed="false">
      <c r="A29" s="53" t="n">
        <v>13</v>
      </c>
      <c r="B29" s="39" t="n">
        <f aca="false">$B$6*(1-Assumptions!$C$15)^(A29-1)</f>
        <v>164.514687087238</v>
      </c>
      <c r="C29" s="39" t="n">
        <f aca="false">B29*Assumptions!$C$18/10</f>
        <v>42.7738186426819</v>
      </c>
      <c r="D29" s="39" t="n">
        <f aca="false">-$B$8*(1+Assumptions!$C$24)^(A29-1)</f>
        <v>-5.70304354738472</v>
      </c>
      <c r="E29" s="39" t="n">
        <f aca="false">C29+D29</f>
        <v>37.0707750952972</v>
      </c>
      <c r="F29" s="39" t="n">
        <f aca="false">IF(A29&lt;=Assumptions!$C$28,-$B$12,0)</f>
        <v>-33.0475844703595</v>
      </c>
      <c r="G29" s="39" t="n">
        <f aca="false">E29+F29</f>
        <v>4.02319062493774</v>
      </c>
      <c r="H29" s="56" t="n">
        <f aca="false">IF(F29&lt;0,E29/-F29,"")</f>
        <v>1.12173932495872</v>
      </c>
      <c r="I29" s="39" t="n">
        <f aca="false">$B$7*(1-Assumptions!$C$15)^(A29-1)</f>
        <v>192.475893851719</v>
      </c>
      <c r="J29" s="39" t="n">
        <f aca="false">I29*Assumptions!$C$18/10</f>
        <v>50.0437324014468</v>
      </c>
      <c r="K29" s="39" t="n">
        <f aca="false">-$B$9*(1+Assumptions!$C$24)^(A29-1)</f>
        <v>-6.55850007949243</v>
      </c>
      <c r="L29" s="39" t="n">
        <f aca="false">J29+K29</f>
        <v>43.4852323219544</v>
      </c>
      <c r="M29" s="39" t="n">
        <f aca="false">IF(A29&lt;=Assumptions!$C$28,-$B$13,0)</f>
        <v>-36.6894282789931</v>
      </c>
      <c r="N29" s="39" t="n">
        <f aca="false">L29+M29</f>
        <v>6.7958040429613</v>
      </c>
      <c r="O29" s="56" t="n">
        <f aca="false">IF(M29&lt;0,L29/-M29,"")</f>
        <v>1.18522512782932</v>
      </c>
      <c r="P29" s="54" t="n">
        <f aca="false">1/(1+Assumptions!$C$25)^A29</f>
        <v>0.326178646884115</v>
      </c>
    </row>
    <row r="30" customFormat="false" ht="15" hidden="false" customHeight="false" outlineLevel="0" collapsed="false">
      <c r="A30" s="53" t="n">
        <v>14</v>
      </c>
      <c r="B30" s="39" t="n">
        <f aca="false">$B$6*(1-Assumptions!$C$15)^(A30-1)</f>
        <v>163.692113651802</v>
      </c>
      <c r="C30" s="39" t="n">
        <f aca="false">B30*Assumptions!$C$18/10</f>
        <v>42.5599495494685</v>
      </c>
      <c r="D30" s="39" t="n">
        <f aca="false">-$B$8*(1+Assumptions!$C$24)^(A30-1)</f>
        <v>-5.87413485380626</v>
      </c>
      <c r="E30" s="39" t="n">
        <f aca="false">C30+D30</f>
        <v>36.6858146956623</v>
      </c>
      <c r="F30" s="39" t="n">
        <f aca="false">IF(A30&lt;=Assumptions!$C$28,-$B$12,0)</f>
        <v>-33.0475844703595</v>
      </c>
      <c r="G30" s="39" t="n">
        <f aca="false">E30+F30</f>
        <v>3.63823022530278</v>
      </c>
      <c r="H30" s="56" t="n">
        <f aca="false">IF(F30&lt;0,E30/-F30,"")</f>
        <v>1.11009065514504</v>
      </c>
      <c r="I30" s="39" t="n">
        <f aca="false">$B$7*(1-Assumptions!$C$15)^(A30-1)</f>
        <v>191.51351438246</v>
      </c>
      <c r="J30" s="39" t="n">
        <f aca="false">I30*Assumptions!$C$18/10</f>
        <v>49.7935137394396</v>
      </c>
      <c r="K30" s="39" t="n">
        <f aca="false">-$B$9*(1+Assumptions!$C$24)^(A30-1)</f>
        <v>-6.7552550818772</v>
      </c>
      <c r="L30" s="39" t="n">
        <f aca="false">J30+K30</f>
        <v>43.0382586575624</v>
      </c>
      <c r="M30" s="39" t="n">
        <f aca="false">IF(A30&lt;=Assumptions!$C$28,-$B$13,0)</f>
        <v>-36.6894282789931</v>
      </c>
      <c r="N30" s="39" t="n">
        <f aca="false">L30+M30</f>
        <v>6.34883037856931</v>
      </c>
      <c r="O30" s="56" t="n">
        <f aca="false">IF(M30&lt;0,L30/-M30,"")</f>
        <v>1.17304249960756</v>
      </c>
      <c r="P30" s="54" t="n">
        <f aca="false">1/(1+Assumptions!$C$25)^A30</f>
        <v>0.299246465031298</v>
      </c>
    </row>
    <row r="31" customFormat="false" ht="15" hidden="false" customHeight="false" outlineLevel="0" collapsed="false">
      <c r="A31" s="53" t="n">
        <v>15</v>
      </c>
      <c r="B31" s="39" t="n">
        <f aca="false">$B$6*(1-Assumptions!$C$15)^(A31-1)</f>
        <v>162.873653083543</v>
      </c>
      <c r="C31" s="39" t="n">
        <f aca="false">B31*Assumptions!$C$18/10</f>
        <v>42.3471498017212</v>
      </c>
      <c r="D31" s="39" t="n">
        <f aca="false">-$B$8*(1+Assumptions!$C$24)^(A31-1)</f>
        <v>-6.05035889942045</v>
      </c>
      <c r="E31" s="39" t="n">
        <f aca="false">C31+D31</f>
        <v>36.2967909023008</v>
      </c>
      <c r="F31" s="39" t="n">
        <f aca="false">IF(A31&lt;=Assumptions!$C$28,-$B$12,0)</f>
        <v>-33.0475844703595</v>
      </c>
      <c r="G31" s="39" t="n">
        <f aca="false">E31+F31</f>
        <v>3.24920643194126</v>
      </c>
      <c r="H31" s="56" t="n">
        <f aca="false">IF(F31&lt;0,E31/-F31,"")</f>
        <v>1.09831902948476</v>
      </c>
      <c r="I31" s="39" t="n">
        <f aca="false">$B$7*(1-Assumptions!$C$15)^(A31-1)</f>
        <v>190.555946810548</v>
      </c>
      <c r="J31" s="39" t="n">
        <f aca="false">I31*Assumptions!$C$18/10</f>
        <v>49.5445461707424</v>
      </c>
      <c r="K31" s="39" t="n">
        <f aca="false">-$B$9*(1+Assumptions!$C$24)^(A31-1)</f>
        <v>-6.95791273433351</v>
      </c>
      <c r="L31" s="39" t="n">
        <f aca="false">J31+K31</f>
        <v>42.5866334364089</v>
      </c>
      <c r="M31" s="39" t="n">
        <f aca="false">IF(A31&lt;=Assumptions!$C$28,-$B$13,0)</f>
        <v>-36.6894282789931</v>
      </c>
      <c r="N31" s="39" t="n">
        <f aca="false">L31+M31</f>
        <v>5.89720515741579</v>
      </c>
      <c r="O31" s="56" t="n">
        <f aca="false">IF(M31&lt;0,L31/-M31,"")</f>
        <v>1.16073308944943</v>
      </c>
      <c r="P31" s="54" t="n">
        <f aca="false">1/(1+Assumptions!$C$25)^A31</f>
        <v>0.274538041313118</v>
      </c>
    </row>
    <row r="32" customFormat="false" ht="15" hidden="false" customHeight="false" outlineLevel="0" collapsed="false">
      <c r="A32" s="53" t="n">
        <v>16</v>
      </c>
      <c r="B32" s="39" t="n">
        <f aca="false">$B$6*(1-Assumptions!$C$15)^(A32-1)</f>
        <v>162.059284818125</v>
      </c>
      <c r="C32" s="39" t="n">
        <f aca="false">B32*Assumptions!$C$18/10</f>
        <v>42.1354140527126</v>
      </c>
      <c r="D32" s="39" t="n">
        <f aca="false">-$B$8*(1+Assumptions!$C$24)^(A32-1)</f>
        <v>-6.23186966640306</v>
      </c>
      <c r="E32" s="39" t="n">
        <f aca="false">C32+D32</f>
        <v>35.9035443863095</v>
      </c>
      <c r="F32" s="39" t="n">
        <f aca="false">IF(A32&lt;=Assumptions!$C$28,-$B$12,0)</f>
        <v>0</v>
      </c>
      <c r="G32" s="39" t="n">
        <f aca="false">E32+F32</f>
        <v>35.9035443863095</v>
      </c>
      <c r="H32" s="56" t="str">
        <f aca="false">IF(F32&lt;0,E32/-F32,"")</f>
        <v/>
      </c>
      <c r="I32" s="39" t="n">
        <f aca="false">$B$7*(1-Assumptions!$C$15)^(A32-1)</f>
        <v>189.603167076495</v>
      </c>
      <c r="J32" s="39" t="n">
        <f aca="false">I32*Assumptions!$C$18/10</f>
        <v>49.2968234398887</v>
      </c>
      <c r="K32" s="39" t="n">
        <f aca="false">-$B$9*(1+Assumptions!$C$24)^(A32-1)</f>
        <v>-7.16665011636352</v>
      </c>
      <c r="L32" s="39" t="n">
        <f aca="false">J32+K32</f>
        <v>42.1301733235252</v>
      </c>
      <c r="M32" s="39" t="n">
        <f aca="false">IF(A32&lt;=Assumptions!$C$28,-$B$13,0)</f>
        <v>0</v>
      </c>
      <c r="N32" s="39" t="n">
        <f aca="false">L32+M32</f>
        <v>42.1301733235252</v>
      </c>
      <c r="O32" s="56" t="str">
        <f aca="false">IF(M32&lt;0,L32/-M32,"")</f>
        <v/>
      </c>
      <c r="P32" s="54" t="n">
        <f aca="false">1/(1+Assumptions!$C$25)^A32</f>
        <v>0.251869762672585</v>
      </c>
    </row>
    <row r="33" customFormat="false" ht="15" hidden="false" customHeight="false" outlineLevel="0" collapsed="false">
      <c r="A33" s="53" t="n">
        <v>17</v>
      </c>
      <c r="B33" s="39" t="n">
        <f aca="false">$B$6*(1-Assumptions!$C$15)^(A33-1)</f>
        <v>161.248988394035</v>
      </c>
      <c r="C33" s="39" t="n">
        <f aca="false">B33*Assumptions!$C$18/10</f>
        <v>41.924736982449</v>
      </c>
      <c r="D33" s="39" t="n">
        <f aca="false">-$B$8*(1+Assumptions!$C$24)^(A33-1)</f>
        <v>-6.41882575639515</v>
      </c>
      <c r="E33" s="39" t="n">
        <f aca="false">C33+D33</f>
        <v>35.5059112260539</v>
      </c>
      <c r="F33" s="39" t="n">
        <f aca="false">IF(A33&lt;=Assumptions!$C$28,-$B$12,0)</f>
        <v>0</v>
      </c>
      <c r="G33" s="39" t="n">
        <f aca="false">E33+F33</f>
        <v>35.5059112260539</v>
      </c>
      <c r="H33" s="56" t="str">
        <f aca="false">IF(F33&lt;0,E33/-F33,"")</f>
        <v/>
      </c>
      <c r="I33" s="39" t="n">
        <f aca="false">$B$7*(1-Assumptions!$C$15)^(A33-1)</f>
        <v>188.655151241112</v>
      </c>
      <c r="J33" s="39" t="n">
        <f aca="false">I33*Assumptions!$C$18/10</f>
        <v>49.0503393226892</v>
      </c>
      <c r="K33" s="39" t="n">
        <f aca="false">-$B$9*(1+Assumptions!$C$24)^(A33-1)</f>
        <v>-7.38164961985443</v>
      </c>
      <c r="L33" s="39" t="n">
        <f aca="false">J33+K33</f>
        <v>41.6686897028348</v>
      </c>
      <c r="M33" s="39" t="n">
        <f aca="false">IF(A33&lt;=Assumptions!$C$28,-$B$13,0)</f>
        <v>0</v>
      </c>
      <c r="N33" s="39" t="n">
        <f aca="false">L33+M33</f>
        <v>41.6686897028348</v>
      </c>
      <c r="O33" s="56" t="str">
        <f aca="false">IF(M33&lt;0,L33/-M33,"")</f>
        <v/>
      </c>
      <c r="P33" s="54" t="n">
        <f aca="false">1/(1+Assumptions!$C$25)^A33</f>
        <v>0.231073176763839</v>
      </c>
    </row>
    <row r="34" customFormat="false" ht="15" hidden="false" customHeight="false" outlineLevel="0" collapsed="false">
      <c r="A34" s="53" t="n">
        <v>18</v>
      </c>
      <c r="B34" s="39" t="n">
        <f aca="false">$B$6*(1-Assumptions!$C$15)^(A34-1)</f>
        <v>160.442743452065</v>
      </c>
      <c r="C34" s="39" t="n">
        <f aca="false">B34*Assumptions!$C$18/10</f>
        <v>41.7151132975368</v>
      </c>
      <c r="D34" s="39" t="n">
        <f aca="false">-$B$8*(1+Assumptions!$C$24)^(A34-1)</f>
        <v>-6.61139052908701</v>
      </c>
      <c r="E34" s="39" t="n">
        <f aca="false">C34+D34</f>
        <v>35.1037227684498</v>
      </c>
      <c r="F34" s="39" t="n">
        <f aca="false">IF(A34&lt;=Assumptions!$C$28,-$B$12,0)</f>
        <v>0</v>
      </c>
      <c r="G34" s="39" t="n">
        <f aca="false">E34+F34</f>
        <v>35.1037227684498</v>
      </c>
      <c r="H34" s="56" t="str">
        <f aca="false">IF(F34&lt;0,E34/-F34,"")</f>
        <v/>
      </c>
      <c r="I34" s="39" t="n">
        <f aca="false">$B$7*(1-Assumptions!$C$15)^(A34-1)</f>
        <v>187.711875484907</v>
      </c>
      <c r="J34" s="39" t="n">
        <f aca="false">I34*Assumptions!$C$18/10</f>
        <v>48.8050876260758</v>
      </c>
      <c r="K34" s="39" t="n">
        <f aca="false">-$B$9*(1+Assumptions!$C$24)^(A34-1)</f>
        <v>-7.60309910845006</v>
      </c>
      <c r="L34" s="39" t="n">
        <f aca="false">J34+K34</f>
        <v>41.2019885176257</v>
      </c>
      <c r="M34" s="39" t="n">
        <f aca="false">IF(A34&lt;=Assumptions!$C$28,-$B$13,0)</f>
        <v>0</v>
      </c>
      <c r="N34" s="39" t="n">
        <f aca="false">L34+M34</f>
        <v>41.2019885176257</v>
      </c>
      <c r="O34" s="56" t="str">
        <f aca="false">IF(M34&lt;0,L34/-M34,"")</f>
        <v/>
      </c>
      <c r="P34" s="54" t="n">
        <f aca="false">1/(1+Assumptions!$C$25)^A34</f>
        <v>0.211993740150311</v>
      </c>
    </row>
    <row r="35" customFormat="false" ht="15" hidden="false" customHeight="false" outlineLevel="0" collapsed="false">
      <c r="A35" s="53" t="n">
        <v>19</v>
      </c>
      <c r="B35" s="39" t="n">
        <f aca="false">$B$6*(1-Assumptions!$C$15)^(A35-1)</f>
        <v>159.640529734804</v>
      </c>
      <c r="C35" s="39" t="n">
        <f aca="false">B35*Assumptions!$C$18/10</f>
        <v>41.5065377310491</v>
      </c>
      <c r="D35" s="39" t="n">
        <f aca="false">-$B$8*(1+Assumptions!$C$24)^(A35-1)</f>
        <v>-6.80973224495962</v>
      </c>
      <c r="E35" s="39" t="n">
        <f aca="false">C35+D35</f>
        <v>34.6968054860895</v>
      </c>
      <c r="F35" s="39" t="n">
        <f aca="false">IF(A35&lt;=Assumptions!$C$28,-$B$12,0)</f>
        <v>0</v>
      </c>
      <c r="G35" s="39" t="n">
        <f aca="false">E35+F35</f>
        <v>34.6968054860895</v>
      </c>
      <c r="H35" s="56" t="str">
        <f aca="false">IF(F35&lt;0,E35/-F35,"")</f>
        <v/>
      </c>
      <c r="I35" s="39" t="n">
        <f aca="false">$B$7*(1-Assumptions!$C$15)^(A35-1)</f>
        <v>186.773316107482</v>
      </c>
      <c r="J35" s="39" t="n">
        <f aca="false">I35*Assumptions!$C$18/10</f>
        <v>48.5610621879454</v>
      </c>
      <c r="K35" s="39" t="n">
        <f aca="false">-$B$9*(1+Assumptions!$C$24)^(A35-1)</f>
        <v>-7.83119208170356</v>
      </c>
      <c r="L35" s="39" t="n">
        <f aca="false">J35+K35</f>
        <v>40.7298701062419</v>
      </c>
      <c r="M35" s="39" t="n">
        <f aca="false">IF(A35&lt;=Assumptions!$C$28,-$B$13,0)</f>
        <v>0</v>
      </c>
      <c r="N35" s="39" t="n">
        <f aca="false">L35+M35</f>
        <v>40.7298701062419</v>
      </c>
      <c r="O35" s="56" t="str">
        <f aca="false">IF(M35&lt;0,L35/-M35,"")</f>
        <v/>
      </c>
      <c r="P35" s="54" t="n">
        <f aca="false">1/(1+Assumptions!$C$25)^A35</f>
        <v>0.194489669862671</v>
      </c>
    </row>
    <row r="36" customFormat="false" ht="15" hidden="false" customHeight="false" outlineLevel="0" collapsed="false">
      <c r="A36" s="53" t="n">
        <v>20</v>
      </c>
      <c r="B36" s="39" t="n">
        <f aca="false">$B$6*(1-Assumptions!$C$15)^(A36-1)</f>
        <v>158.84232708613</v>
      </c>
      <c r="C36" s="39" t="n">
        <f aca="false">B36*Assumptions!$C$18/10</f>
        <v>41.2990050423939</v>
      </c>
      <c r="D36" s="39" t="n">
        <f aca="false">-$B$8*(1+Assumptions!$C$24)^(A36-1)</f>
        <v>-7.01402421230841</v>
      </c>
      <c r="E36" s="39" t="n">
        <f aca="false">C36+D36</f>
        <v>34.2849808300854</v>
      </c>
      <c r="F36" s="39" t="n">
        <f aca="false">IF(A36&lt;=Assumptions!$C$28,-$B$12,0)</f>
        <v>0</v>
      </c>
      <c r="G36" s="39" t="n">
        <f aca="false">E36+F36</f>
        <v>34.2849808300854</v>
      </c>
      <c r="H36" s="56" t="str">
        <f aca="false">IF(F36&lt;0,E36/-F36,"")</f>
        <v/>
      </c>
      <c r="I36" s="39" t="n">
        <f aca="false">$B$7*(1-Assumptions!$C$15)^(A36-1)</f>
        <v>185.839449526945</v>
      </c>
      <c r="J36" s="39" t="n">
        <f aca="false">I36*Assumptions!$C$18/10</f>
        <v>48.3182568770057</v>
      </c>
      <c r="K36" s="39" t="n">
        <f aca="false">-$B$9*(1+Assumptions!$C$24)^(A36-1)</f>
        <v>-8.06612784415467</v>
      </c>
      <c r="L36" s="39" t="n">
        <f aca="false">J36+K36</f>
        <v>40.252129032851</v>
      </c>
      <c r="M36" s="39" t="n">
        <f aca="false">IF(A36&lt;=Assumptions!$C$28,-$B$13,0)</f>
        <v>0</v>
      </c>
      <c r="N36" s="39" t="n">
        <f aca="false">L36+M36</f>
        <v>40.252129032851</v>
      </c>
      <c r="O36" s="56" t="str">
        <f aca="false">IF(M36&lt;0,L36/-M36,"")</f>
        <v/>
      </c>
      <c r="P36" s="54" t="n">
        <f aca="false">1/(1+Assumptions!$C$25)^A36</f>
        <v>0.178430889782267</v>
      </c>
    </row>
    <row r="37" customFormat="false" ht="15" hidden="false" customHeight="false" outlineLevel="0" collapsed="false">
      <c r="A37" s="53" t="n">
        <v>21</v>
      </c>
      <c r="B37" s="39" t="n">
        <f aca="false">$B$6*(1-Assumptions!$C$15)^(A37-1)</f>
        <v>158.0481154507</v>
      </c>
      <c r="C37" s="39" t="n">
        <f aca="false">B37*Assumptions!$C$18/10</f>
        <v>41.0925100171819</v>
      </c>
      <c r="D37" s="39" t="n">
        <f aca="false">-$B$8*(1+Assumptions!$C$24)^(A37-1)</f>
        <v>-7.22444493867766</v>
      </c>
      <c r="E37" s="39" t="n">
        <f aca="false">C37+D37</f>
        <v>33.8680650785042</v>
      </c>
      <c r="F37" s="39" t="n">
        <f aca="false">IF(A37&lt;=Assumptions!$C$28,-$B$12,0)</f>
        <v>0</v>
      </c>
      <c r="G37" s="39" t="n">
        <f aca="false">E37+F37</f>
        <v>33.8680650785042</v>
      </c>
      <c r="H37" s="56" t="str">
        <f aca="false">IF(F37&lt;0,E37/-F37,"")</f>
        <v/>
      </c>
      <c r="I37" s="39" t="n">
        <f aca="false">$B$7*(1-Assumptions!$C$15)^(A37-1)</f>
        <v>184.91025227931</v>
      </c>
      <c r="J37" s="39" t="n">
        <f aca="false">I37*Assumptions!$C$18/10</f>
        <v>48.0766655926207</v>
      </c>
      <c r="K37" s="39" t="n">
        <f aca="false">-$B$9*(1+Assumptions!$C$24)^(A37-1)</f>
        <v>-8.30811167947931</v>
      </c>
      <c r="L37" s="39" t="n">
        <f aca="false">J37+K37</f>
        <v>39.7685539131413</v>
      </c>
      <c r="M37" s="39" t="n">
        <f aca="false">IF(A37&lt;=Assumptions!$C$28,-$B$13,0)</f>
        <v>0</v>
      </c>
      <c r="N37" s="39" t="n">
        <f aca="false">L37+M37</f>
        <v>39.7685539131413</v>
      </c>
      <c r="O37" s="56" t="str">
        <f aca="false">IF(M37&lt;0,L37/-M37,"")</f>
        <v/>
      </c>
      <c r="P37" s="54" t="n">
        <f aca="false">1/(1+Assumptions!$C$25)^A37</f>
        <v>0.163698064020428</v>
      </c>
    </row>
    <row r="38" customFormat="false" ht="15" hidden="false" customHeight="false" outlineLevel="0" collapsed="false">
      <c r="A38" s="53" t="n">
        <v>22</v>
      </c>
      <c r="B38" s="39" t="n">
        <f aca="false">$B$6*(1-Assumptions!$C$15)^(A38-1)</f>
        <v>157.257874873446</v>
      </c>
      <c r="C38" s="39" t="n">
        <f aca="false">B38*Assumptions!$C$18/10</f>
        <v>40.887047467096</v>
      </c>
      <c r="D38" s="39" t="n">
        <f aca="false">-$B$8*(1+Assumptions!$C$24)^(A38-1)</f>
        <v>-7.44117828683799</v>
      </c>
      <c r="E38" s="39" t="n">
        <f aca="false">C38+D38</f>
        <v>33.445869180258</v>
      </c>
      <c r="F38" s="39" t="n">
        <f aca="false">IF(A38&lt;=Assumptions!$C$28,-$B$12,0)</f>
        <v>0</v>
      </c>
      <c r="G38" s="39" t="n">
        <f aca="false">E38+F38</f>
        <v>33.445869180258</v>
      </c>
      <c r="H38" s="56" t="str">
        <f aca="false">IF(F38&lt;0,E38/-F38,"")</f>
        <v/>
      </c>
      <c r="I38" s="39" t="n">
        <f aca="false">$B$7*(1-Assumptions!$C$15)^(A38-1)</f>
        <v>183.985701017914</v>
      </c>
      <c r="J38" s="39" t="n">
        <f aca="false">I38*Assumptions!$C$18/10</f>
        <v>47.8362822646576</v>
      </c>
      <c r="K38" s="39" t="n">
        <f aca="false">-$B$9*(1+Assumptions!$C$24)^(A38-1)</f>
        <v>-8.55735502986369</v>
      </c>
      <c r="L38" s="39" t="n">
        <f aca="false">J38+K38</f>
        <v>39.2789272347939</v>
      </c>
      <c r="M38" s="39" t="n">
        <f aca="false">IF(A38&lt;=Assumptions!$C$28,-$B$13,0)</f>
        <v>0</v>
      </c>
      <c r="N38" s="39" t="n">
        <f aca="false">L38+M38</f>
        <v>39.2789272347939</v>
      </c>
      <c r="O38" s="56" t="str">
        <f aca="false">IF(M38&lt;0,L38/-M38,"")</f>
        <v/>
      </c>
      <c r="P38" s="54" t="n">
        <f aca="false">1/(1+Assumptions!$C$25)^A38</f>
        <v>0.150181710110485</v>
      </c>
    </row>
    <row r="39" customFormat="false" ht="15" hidden="false" customHeight="false" outlineLevel="0" collapsed="false">
      <c r="A39" s="53" t="n">
        <v>23</v>
      </c>
      <c r="B39" s="39" t="n">
        <f aca="false">$B$6*(1-Assumptions!$C$15)^(A39-1)</f>
        <v>156.471585499079</v>
      </c>
      <c r="C39" s="39" t="n">
        <f aca="false">B39*Assumptions!$C$18/10</f>
        <v>40.6826122297605</v>
      </c>
      <c r="D39" s="39" t="n">
        <f aca="false">-$B$8*(1+Assumptions!$C$24)^(A39-1)</f>
        <v>-7.66441363544313</v>
      </c>
      <c r="E39" s="39" t="n">
        <f aca="false">C39+D39</f>
        <v>33.0181985943174</v>
      </c>
      <c r="F39" s="39" t="n">
        <f aca="false">IF(A39&lt;=Assumptions!$C$28,-$B$12,0)</f>
        <v>0</v>
      </c>
      <c r="G39" s="39" t="n">
        <f aca="false">E39+F39</f>
        <v>33.0181985943174</v>
      </c>
      <c r="H39" s="56" t="str">
        <f aca="false">IF(F39&lt;0,E39/-F39,"")</f>
        <v/>
      </c>
      <c r="I39" s="39" t="n">
        <f aca="false">$B$7*(1-Assumptions!$C$15)^(A39-1)</f>
        <v>183.065772512824</v>
      </c>
      <c r="J39" s="39" t="n">
        <f aca="false">I39*Assumptions!$C$18/10</f>
        <v>47.5971008533343</v>
      </c>
      <c r="K39" s="39" t="n">
        <f aca="false">-$B$9*(1+Assumptions!$C$24)^(A39-1)</f>
        <v>-8.8140756807596</v>
      </c>
      <c r="L39" s="39" t="n">
        <f aca="false">J39+K39</f>
        <v>38.7830251725747</v>
      </c>
      <c r="M39" s="39" t="n">
        <f aca="false">IF(A39&lt;=Assumptions!$C$28,-$B$13,0)</f>
        <v>0</v>
      </c>
      <c r="N39" s="39" t="n">
        <f aca="false">L39+M39</f>
        <v>38.7830251725747</v>
      </c>
      <c r="O39" s="56" t="str">
        <f aca="false">IF(M39&lt;0,L39/-M39,"")</f>
        <v/>
      </c>
      <c r="P39" s="54" t="n">
        <f aca="false">1/(1+Assumptions!$C$25)^A39</f>
        <v>0.137781385422463</v>
      </c>
    </row>
    <row r="40" customFormat="false" ht="15" hidden="false" customHeight="false" outlineLevel="0" collapsed="false">
      <c r="A40" s="53" t="n">
        <v>24</v>
      </c>
      <c r="B40" s="39" t="n">
        <f aca="false">$B$6*(1-Assumptions!$C$15)^(A40-1)</f>
        <v>155.689227571583</v>
      </c>
      <c r="C40" s="39" t="n">
        <f aca="false">B40*Assumptions!$C$18/10</f>
        <v>40.4791991686117</v>
      </c>
      <c r="D40" s="39" t="n">
        <f aca="false">-$B$8*(1+Assumptions!$C$24)^(A40-1)</f>
        <v>-7.89434604450642</v>
      </c>
      <c r="E40" s="39" t="n">
        <f aca="false">C40+D40</f>
        <v>32.5848531241053</v>
      </c>
      <c r="F40" s="39" t="n">
        <f aca="false">IF(A40&lt;=Assumptions!$C$28,-$B$12,0)</f>
        <v>0</v>
      </c>
      <c r="G40" s="39" t="n">
        <f aca="false">E40+F40</f>
        <v>32.5848531241053</v>
      </c>
      <c r="H40" s="56" t="str">
        <f aca="false">IF(F40&lt;0,E40/-F40,"")</f>
        <v/>
      </c>
      <c r="I40" s="39" t="n">
        <f aca="false">$B$7*(1-Assumptions!$C$15)^(A40-1)</f>
        <v>182.15044365026</v>
      </c>
      <c r="J40" s="39" t="n">
        <f aca="false">I40*Assumptions!$C$18/10</f>
        <v>47.3591153490676</v>
      </c>
      <c r="K40" s="39" t="n">
        <f aca="false">-$B$9*(1+Assumptions!$C$24)^(A40-1)</f>
        <v>-9.07849795118239</v>
      </c>
      <c r="L40" s="39" t="n">
        <f aca="false">J40+K40</f>
        <v>38.2806173978852</v>
      </c>
      <c r="M40" s="39" t="n">
        <f aca="false">IF(A40&lt;=Assumptions!$C$28,-$B$13,0)</f>
        <v>0</v>
      </c>
      <c r="N40" s="39" t="n">
        <f aca="false">L40+M40</f>
        <v>38.2806173978852</v>
      </c>
      <c r="O40" s="56" t="str">
        <f aca="false">IF(M40&lt;0,L40/-M40,"")</f>
        <v/>
      </c>
      <c r="P40" s="54" t="n">
        <f aca="false">1/(1+Assumptions!$C$25)^A40</f>
        <v>0.126404940754553</v>
      </c>
    </row>
    <row r="41" customFormat="false" ht="15" hidden="false" customHeight="false" outlineLevel="0" collapsed="false">
      <c r="A41" s="53" t="n">
        <v>25</v>
      </c>
      <c r="B41" s="39" t="n">
        <f aca="false">$B$6*(1-Assumptions!$C$15)^(A41-1)</f>
        <v>154.910781433726</v>
      </c>
      <c r="C41" s="39" t="n">
        <f aca="false">B41*Assumptions!$C$18/10</f>
        <v>40.2768031727686</v>
      </c>
      <c r="D41" s="39" t="n">
        <f aca="false">-$B$8*(1+Assumptions!$C$24)^(A41-1)</f>
        <v>-8.13117642584162</v>
      </c>
      <c r="E41" s="39" t="n">
        <f aca="false">C41+D41</f>
        <v>32.145626746927</v>
      </c>
      <c r="F41" s="39" t="n">
        <f aca="false">IF(A41&lt;=Assumptions!$C$28,-$B$12,0)</f>
        <v>0</v>
      </c>
      <c r="G41" s="39" t="n">
        <f aca="false">E41+F41</f>
        <v>32.145626746927</v>
      </c>
      <c r="H41" s="56" t="str">
        <f aca="false">IF(F41&lt;0,E41/-F41,"")</f>
        <v/>
      </c>
      <c r="I41" s="39" t="n">
        <f aca="false">$B$7*(1-Assumptions!$C$15)^(A41-1)</f>
        <v>181.239691432009</v>
      </c>
      <c r="J41" s="39" t="n">
        <f aca="false">I41*Assumptions!$C$18/10</f>
        <v>47.1223197723223</v>
      </c>
      <c r="K41" s="39" t="n">
        <f aca="false">-$B$9*(1+Assumptions!$C$24)^(A41-1)</f>
        <v>-9.35085288971786</v>
      </c>
      <c r="L41" s="39" t="n">
        <f aca="false">J41+K41</f>
        <v>37.7714668826044</v>
      </c>
      <c r="M41" s="39" t="n">
        <f aca="false">IF(A41&lt;=Assumptions!$C$28,-$B$13,0)</f>
        <v>0</v>
      </c>
      <c r="N41" s="39" t="n">
        <f aca="false">L41+M41</f>
        <v>37.7714668826044</v>
      </c>
      <c r="O41" s="56" t="str">
        <f aca="false">IF(M41&lt;0,L41/-M41,"")</f>
        <v/>
      </c>
      <c r="P41" s="54" t="n">
        <f aca="false">1/(1+Assumptions!$C$25)^A41</f>
        <v>0.115967835554636</v>
      </c>
    </row>
    <row r="44" customFormat="false" ht="15" hidden="false" customHeight="false" outlineLevel="0" collapsed="false">
      <c r="A44" s="10" t="s">
        <v>361</v>
      </c>
      <c r="B44" s="10" t="s">
        <v>362</v>
      </c>
      <c r="C44" s="10" t="s">
        <v>363</v>
      </c>
      <c r="D44" s="10" t="s">
        <v>364</v>
      </c>
    </row>
    <row r="45" customFormat="false" ht="15" hidden="false" customHeight="false" outlineLevel="0" collapsed="false">
      <c r="A45" s="36" t="s">
        <v>365</v>
      </c>
      <c r="B45" s="40" t="n">
        <f aca="false">IFERROR(IRR(E16:E41),0)</f>
        <v>0.100505491757063</v>
      </c>
      <c r="C45" s="40" t="n">
        <f aca="false">IFERROR(IRR(L16:L41),0)</f>
        <v>0.108122151313325</v>
      </c>
      <c r="D45" s="49" t="n">
        <f aca="false">C45-B45</f>
        <v>0.00761665955626228</v>
      </c>
    </row>
    <row r="46" customFormat="false" ht="15" hidden="false" customHeight="false" outlineLevel="0" collapsed="false">
      <c r="A46" s="36" t="s">
        <v>366</v>
      </c>
      <c r="B46" s="40" t="n">
        <f aca="false">IFERROR(IRR(G16:G41),0)</f>
        <v>0.112017794274503</v>
      </c>
      <c r="C46" s="40" t="n">
        <f aca="false">IFERROR(IRR(N16:N41),0)</f>
        <v>0.131825951015674</v>
      </c>
      <c r="D46" s="49" t="n">
        <f aca="false">C46-B46</f>
        <v>0.0198081567411707</v>
      </c>
    </row>
    <row r="47" customFormat="false" ht="15" hidden="false" customHeight="false" outlineLevel="0" collapsed="false">
      <c r="A47" s="36" t="s">
        <v>367</v>
      </c>
      <c r="B47" s="41" t="n">
        <f aca="false">E16+NPV(Assumptions!$C$25,E17:E41)</f>
        <v>28.7647303239791</v>
      </c>
      <c r="C47" s="41" t="n">
        <f aca="false">L16+NPV(Assumptions!$C$25,L17:L41)</f>
        <v>55.5779082746666</v>
      </c>
      <c r="D47" s="39" t="n">
        <f aca="false">C47-B47</f>
        <v>26.8131779506875</v>
      </c>
    </row>
    <row r="48" customFormat="false" ht="15" hidden="false" customHeight="false" outlineLevel="0" collapsed="false">
      <c r="A48" s="36" t="s">
        <v>368</v>
      </c>
      <c r="B48" s="57" t="n">
        <f aca="false">MIN(H17:H41)</f>
        <v>1.09831902948476</v>
      </c>
      <c r="C48" s="57" t="n">
        <f aca="false">MIN(O17:O41)</f>
        <v>1.16073308944943</v>
      </c>
      <c r="D48" s="56" t="n">
        <f aca="false">C48-B48</f>
        <v>0.0624140599646719</v>
      </c>
    </row>
    <row r="49" customFormat="false" ht="15" hidden="false" customHeight="false" outlineLevel="0" collapsed="false">
      <c r="A49" s="36" t="s">
        <v>369</v>
      </c>
      <c r="B49" s="57" t="n">
        <f aca="false">AVERAGE(H17:H41)</f>
        <v>1.17739222248692</v>
      </c>
      <c r="C49" s="57" t="n">
        <f aca="false">AVERAGE(O17:O41)</f>
        <v>1.24346937749968</v>
      </c>
      <c r="D49" s="56" t="n">
        <f aca="false">C49-B49</f>
        <v>0.0660771550127537</v>
      </c>
    </row>
    <row r="50" customFormat="false" ht="15" hidden="false" customHeight="false" outlineLevel="0" collapsed="false">
      <c r="A50" s="36" t="s">
        <v>370</v>
      </c>
      <c r="B50" s="58" t="n">
        <f aca="false">(B4-SUMPRODUCT(D17:D41,P17:P41))/SUMPRODUCT(B17:B41,P17:P41)*10</f>
        <v>2.42576740002704</v>
      </c>
      <c r="C50" s="58" t="n">
        <f aca="false">(B5-SUMPRODUCT(K17:K41,P17:P41))/SUMPRODUCT(I17:I41,P17:P41)*10</f>
        <v>2.31226039776351</v>
      </c>
      <c r="D50" s="54" t="n">
        <f aca="false">C50-B50</f>
        <v>-0.113507002263527</v>
      </c>
    </row>
    <row r="52" customFormat="false" ht="15" hidden="false" customHeight="false" outlineLevel="0" collapsed="false">
      <c r="A52" s="2" t="s">
        <v>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2026-10-24T18:04:07Z</dcterms:created>
  <dc:creator>openpyxl</dc:creator>
  <dc:description/>
  <dc:language>en-US</dc:language>
  <cp:lastModifiedBy/>
  <dcterms:modified xsi:type="dcterms:W3CDTF">2026-10-24T18:04:09Z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